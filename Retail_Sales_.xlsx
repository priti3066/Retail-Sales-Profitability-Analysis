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DC92466-E030-4C38-8C05-72EEBEAF3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rty_Retail_Data" sheetId="1" r:id="rId1"/>
    <sheet name="Retailed_Data" sheetId="3" r:id="rId2"/>
    <sheet name="KPI" sheetId="4" r:id="rId3"/>
    <sheet name="Category_Analysis" sheetId="5" r:id="rId4"/>
    <sheet name="Region_Analysis" sheetId="6" r:id="rId5"/>
    <sheet name="Sales &amp; Profit by Sub-Category" sheetId="7" r:id="rId6"/>
    <sheet name="Discount_Analysis" sheetId="8" r:id="rId7"/>
  </sheets>
  <definedNames>
    <definedName name="_xlnm._FilterDatabase" localSheetId="0" hidden="1">Dirty_Retail_Data!$A$1:$R$253</definedName>
  </definedNames>
  <calcPr calcId="191029"/>
  <pivotCaches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4" i="6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D5" i="5"/>
  <c r="D6" i="5"/>
  <c r="D4" i="5"/>
  <c r="B9" i="4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B8" i="4"/>
  <c r="B6" i="4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B4" i="4"/>
  <c r="B10" i="4" l="1"/>
  <c r="B5" i="4"/>
  <c r="B7" i="4" s="1"/>
</calcChain>
</file>

<file path=xl/sharedStrings.xml><?xml version="1.0" encoding="utf-8"?>
<sst xmlns="http://schemas.openxmlformats.org/spreadsheetml/2006/main" count="6354" uniqueCount="747">
  <si>
    <t>Order ID</t>
  </si>
  <si>
    <t>Order Date</t>
  </si>
  <si>
    <t>Ship Date</t>
  </si>
  <si>
    <t>Customer Name</t>
  </si>
  <si>
    <t>Segment</t>
  </si>
  <si>
    <t>Region</t>
  </si>
  <si>
    <t>State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</si>
  <si>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</si>
  <si>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</si>
  <si>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</si>
  <si>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</si>
  <si>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</si>
  <si>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</si>
  <si>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</si>
  <si>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</si>
  <si>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</si>
  <si>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Ship Mode</t>
  </si>
  <si>
    <t>Payment Type</t>
  </si>
  <si>
    <t>ORD-1001</t>
  </si>
  <si>
    <t>2023-04-25</t>
  </si>
  <si>
    <t>2023-05-04</t>
  </si>
  <si>
    <t>Meera Patel</t>
  </si>
  <si>
    <t>Home Office</t>
  </si>
  <si>
    <t>South</t>
  </si>
  <si>
    <t>California</t>
  </si>
  <si>
    <t>San Francisco</t>
  </si>
  <si>
    <t>Technology</t>
  </si>
  <si>
    <t>Accessories</t>
  </si>
  <si>
    <t>Keyboard</t>
  </si>
  <si>
    <t>Standard Class</t>
  </si>
  <si>
    <t>Card</t>
  </si>
  <si>
    <t>ORD-1002</t>
  </si>
  <si>
    <t>2023-08-27</t>
  </si>
  <si>
    <t>2023-09-05</t>
  </si>
  <si>
    <t>Anaya Rao</t>
  </si>
  <si>
    <t>Consumer</t>
  </si>
  <si>
    <t>Illinois</t>
  </si>
  <si>
    <t>Peoria</t>
  </si>
  <si>
    <t>Furniture</t>
  </si>
  <si>
    <t>Tables</t>
  </si>
  <si>
    <t>Side Table</t>
  </si>
  <si>
    <t>First Class</t>
  </si>
  <si>
    <t>ORD-1003</t>
  </si>
  <si>
    <t>2024-12-15</t>
  </si>
  <si>
    <t>2024-12-22</t>
  </si>
  <si>
    <t>Corporate</t>
  </si>
  <si>
    <t>Central</t>
  </si>
  <si>
    <t>Florida</t>
  </si>
  <si>
    <t>Orlando</t>
  </si>
  <si>
    <t>ORD-1004</t>
  </si>
  <si>
    <t>2024-04-15</t>
  </si>
  <si>
    <t>2024-04-21</t>
  </si>
  <si>
    <t>Sara Khan</t>
  </si>
  <si>
    <t>West</t>
  </si>
  <si>
    <t>Chicago</t>
  </si>
  <si>
    <t>Second Class</t>
  </si>
  <si>
    <t>Bank Transfer</t>
  </si>
  <si>
    <t>ORD-1005</t>
  </si>
  <si>
    <t>2023-09-02</t>
  </si>
  <si>
    <t>San Diego</t>
  </si>
  <si>
    <t>Chairs</t>
  </si>
  <si>
    <t>Visitor Chair</t>
  </si>
  <si>
    <t>Cash</t>
  </si>
  <si>
    <t>ORD-1006</t>
  </si>
  <si>
    <t>2023-09-08</t>
  </si>
  <si>
    <t>2023-09-12</t>
  </si>
  <si>
    <t>Dev Mehta</t>
  </si>
  <si>
    <t>East</t>
  </si>
  <si>
    <t>New York</t>
  </si>
  <si>
    <t>Buffalo</t>
  </si>
  <si>
    <t>Phones</t>
  </si>
  <si>
    <t>Desk Phone</t>
  </si>
  <si>
    <t>Digital Wallet</t>
  </si>
  <si>
    <t>ORD-1007</t>
  </si>
  <si>
    <t>2023-03-09</t>
  </si>
  <si>
    <t>2023-03-17</t>
  </si>
  <si>
    <t>Kabir Joshi</t>
  </si>
  <si>
    <t>Albany</t>
  </si>
  <si>
    <t>Office Supplies</t>
  </si>
  <si>
    <t>Binders</t>
  </si>
  <si>
    <t>Ring Binder</t>
  </si>
  <si>
    <t>ORD-1008</t>
  </si>
  <si>
    <t>2024-02-13</t>
  </si>
  <si>
    <t>2024-02-15</t>
  </si>
  <si>
    <t>Texas</t>
  </si>
  <si>
    <t>Houston</t>
  </si>
  <si>
    <t>Wireless Phone</t>
  </si>
  <si>
    <t>Same Day</t>
  </si>
  <si>
    <t>ORD-1009</t>
  </si>
  <si>
    <t>2024-01-26</t>
  </si>
  <si>
    <t>2024-01-28</t>
  </si>
  <si>
    <t>Riya Desai</t>
  </si>
  <si>
    <t>Springfield</t>
  </si>
  <si>
    <t>Paper</t>
  </si>
  <si>
    <t>A4 Paper</t>
  </si>
  <si>
    <t>ORD-1010</t>
  </si>
  <si>
    <t>2024-04-09</t>
  </si>
  <si>
    <t>2024-04-11</t>
  </si>
  <si>
    <t>Office Table</t>
  </si>
  <si>
    <t>ORD-1011</t>
  </si>
  <si>
    <t>2024-06-27</t>
  </si>
  <si>
    <t>2024-07-02</t>
  </si>
  <si>
    <t>ORD-1012</t>
  </si>
  <si>
    <t>2024-05-12</t>
  </si>
  <si>
    <t>2024-05-15</t>
  </si>
  <si>
    <t>ORD-1013</t>
  </si>
  <si>
    <t>2024-11-18</t>
  </si>
  <si>
    <t>2024-11-22</t>
  </si>
  <si>
    <t>Washington</t>
  </si>
  <si>
    <t>Spokane</t>
  </si>
  <si>
    <t>Copy Paper</t>
  </si>
  <si>
    <t>ORD-1014</t>
  </si>
  <si>
    <t>2023-03-14</t>
  </si>
  <si>
    <t>2023-03-16</t>
  </si>
  <si>
    <t xml:space="preserve"> west </t>
  </si>
  <si>
    <t>Tacoma</t>
  </si>
  <si>
    <t>Ergo Chair</t>
  </si>
  <si>
    <t>ORD-1015</t>
  </si>
  <si>
    <t>2024-04-29</t>
  </si>
  <si>
    <t>2024-05-06</t>
  </si>
  <si>
    <t>Ishaan Verma</t>
  </si>
  <si>
    <t>Miami</t>
  </si>
  <si>
    <t>ORD-1016</t>
  </si>
  <si>
    <t>2023-12-14</t>
  </si>
  <si>
    <t>2023-12-17</t>
  </si>
  <si>
    <t>Los Angeles</t>
  </si>
  <si>
    <t>ORD-1017</t>
  </si>
  <si>
    <t>2024-10-29</t>
  </si>
  <si>
    <t>2024-11-06</t>
  </si>
  <si>
    <t>ORD-1018</t>
  </si>
  <si>
    <t>2024-02-04</t>
  </si>
  <si>
    <t>Dallas</t>
  </si>
  <si>
    <t>Office Chair</t>
  </si>
  <si>
    <t>ORD-1019</t>
  </si>
  <si>
    <t>2024-07-09</t>
  </si>
  <si>
    <t>2024-07-18</t>
  </si>
  <si>
    <t>N/A</t>
  </si>
  <si>
    <t>ORD-1020</t>
  </si>
  <si>
    <t>2023-08-29</t>
  </si>
  <si>
    <t>Webcam</t>
  </si>
  <si>
    <t>ORD-1021</t>
  </si>
  <si>
    <t>2024-02-10</t>
  </si>
  <si>
    <t>2024-02-12</t>
  </si>
  <si>
    <t>File Binder</t>
  </si>
  <si>
    <t>ORD-1022</t>
  </si>
  <si>
    <t>2023-03-12</t>
  </si>
  <si>
    <t>2023-03-21</t>
  </si>
  <si>
    <t>Aarav Shah</t>
  </si>
  <si>
    <t>ORD-1023</t>
  </si>
  <si>
    <t>2023-04-29</t>
  </si>
  <si>
    <t>2023-05-05</t>
  </si>
  <si>
    <t>ORD-1024</t>
  </si>
  <si>
    <t>2023-04-05</t>
  </si>
  <si>
    <t>2023-04-10</t>
  </si>
  <si>
    <t>ORD-1025</t>
  </si>
  <si>
    <t>2023-03-19</t>
  </si>
  <si>
    <t>2023-03-26</t>
  </si>
  <si>
    <t>Seattle</t>
  </si>
  <si>
    <t>ORD-1026</t>
  </si>
  <si>
    <t>2024-11-29</t>
  </si>
  <si>
    <t>2024-12-06</t>
  </si>
  <si>
    <t>ORD-1027</t>
  </si>
  <si>
    <t>2023-12-07</t>
  </si>
  <si>
    <t>2023-12-08</t>
  </si>
  <si>
    <t>Tampa</t>
  </si>
  <si>
    <t>Conference Table</t>
  </si>
  <si>
    <t>ORD-1028</t>
  </si>
  <si>
    <t>2023-08-17</t>
  </si>
  <si>
    <t>2023-08-22</t>
  </si>
  <si>
    <t>ORD-1029</t>
  </si>
  <si>
    <t>2023-09-25</t>
  </si>
  <si>
    <t>2023-10-01</t>
  </si>
  <si>
    <t>ORD-1030</t>
  </si>
  <si>
    <t>2024-12-26</t>
  </si>
  <si>
    <t>2025-01-01</t>
  </si>
  <si>
    <t>unknown</t>
  </si>
  <si>
    <t>ORD-1031</t>
  </si>
  <si>
    <t>2024-02-23</t>
  </si>
  <si>
    <t>2024-03-01</t>
  </si>
  <si>
    <t>Mouse</t>
  </si>
  <si>
    <t>ORD-1032</t>
  </si>
  <si>
    <t>2023-08-04</t>
  </si>
  <si>
    <t>2023-08-13</t>
  </si>
  <si>
    <t>ORD-1033</t>
  </si>
  <si>
    <t>2024-11-10</t>
  </si>
  <si>
    <t>2024-11-14</t>
  </si>
  <si>
    <t>ORD-1034</t>
  </si>
  <si>
    <t>2023-03-20</t>
  </si>
  <si>
    <t>ORD-1035</t>
  </si>
  <si>
    <t>2024-12-13</t>
  </si>
  <si>
    <t>2024-12-21</t>
  </si>
  <si>
    <t>ORD-1036</t>
  </si>
  <si>
    <t>2024-05-01</t>
  </si>
  <si>
    <t>2024-05-10</t>
  </si>
  <si>
    <t>ORD-1037</t>
  </si>
  <si>
    <t>2023-10-20</t>
  </si>
  <si>
    <t>2023-10-23</t>
  </si>
  <si>
    <t>technology</t>
  </si>
  <si>
    <t>ORD-1038</t>
  </si>
  <si>
    <t>2024-02-22</t>
  </si>
  <si>
    <t>2024-02-29</t>
  </si>
  <si>
    <t>Austin</t>
  </si>
  <si>
    <t>Notebook Paper</t>
  </si>
  <si>
    <t>ORD-1039</t>
  </si>
  <si>
    <t>2024-02-05</t>
  </si>
  <si>
    <t>ORD-1040</t>
  </si>
  <si>
    <t>2024-09-29</t>
  </si>
  <si>
    <t>2024-10-06</t>
  </si>
  <si>
    <t>ORD-1041</t>
  </si>
  <si>
    <t>2023-08-05</t>
  </si>
  <si>
    <t>2023-08-12</t>
  </si>
  <si>
    <t>ORD-1042</t>
  </si>
  <si>
    <t>2024-10-27</t>
  </si>
  <si>
    <t>ORD-1043</t>
  </si>
  <si>
    <t>2024-12-17</t>
  </si>
  <si>
    <t>2024-12-20</t>
  </si>
  <si>
    <t>ORD-1044</t>
  </si>
  <si>
    <t>2023-07-23</t>
  </si>
  <si>
    <t>2023-07-25</t>
  </si>
  <si>
    <t>ORD-1045</t>
  </si>
  <si>
    <t>2024-10-25</t>
  </si>
  <si>
    <t>2024-10-31</t>
  </si>
  <si>
    <t>Smartphone</t>
  </si>
  <si>
    <t>ORD-1046</t>
  </si>
  <si>
    <t>2024-07-05</t>
  </si>
  <si>
    <t>ORD-1047</t>
  </si>
  <si>
    <t>2023-01-30</t>
  </si>
  <si>
    <t>2023-02-05</t>
  </si>
  <si>
    <t>ORD-1048</t>
  </si>
  <si>
    <t>2023-09-13</t>
  </si>
  <si>
    <t>ORD-1049</t>
  </si>
  <si>
    <t>2023-09-07</t>
  </si>
  <si>
    <t>2023-09-16</t>
  </si>
  <si>
    <t>ORD-1050</t>
  </si>
  <si>
    <t>2023-05-07</t>
  </si>
  <si>
    <t>ORD-1051</t>
  </si>
  <si>
    <t>2023-10-31</t>
  </si>
  <si>
    <t>2023-11-05</t>
  </si>
  <si>
    <t>ORD-1052</t>
  </si>
  <si>
    <t>2023-01-13</t>
  </si>
  <si>
    <t>2023-01-14</t>
  </si>
  <si>
    <t>ORD-1053</t>
  </si>
  <si>
    <t>2024-08-13</t>
  </si>
  <si>
    <t>2024-08-15</t>
  </si>
  <si>
    <t>ORD-1054</t>
  </si>
  <si>
    <t>2024-03-29</t>
  </si>
  <si>
    <t>2024-03-31</t>
  </si>
  <si>
    <t>ORD-1055</t>
  </si>
  <si>
    <t>2023-06-27</t>
  </si>
  <si>
    <t>2023-07-05</t>
  </si>
  <si>
    <t>ORD-1056</t>
  </si>
  <si>
    <t>2024-12-04</t>
  </si>
  <si>
    <t>2024-12-07</t>
  </si>
  <si>
    <t>ORD-1057</t>
  </si>
  <si>
    <t>2024-08-05</t>
  </si>
  <si>
    <t>2024-08-10</t>
  </si>
  <si>
    <t>ORD-1058</t>
  </si>
  <si>
    <t>2023-11-27</t>
  </si>
  <si>
    <t>2023-11-28</t>
  </si>
  <si>
    <t>standard class</t>
  </si>
  <si>
    <t>ORD-1059</t>
  </si>
  <si>
    <t>2023-07-11</t>
  </si>
  <si>
    <t>ORD-1060</t>
  </si>
  <si>
    <t>2024-05-22</t>
  </si>
  <si>
    <t>2024-05-24</t>
  </si>
  <si>
    <t>ORD-1061</t>
  </si>
  <si>
    <t>2024-07-17</t>
  </si>
  <si>
    <t>ORD-1062</t>
  </si>
  <si>
    <t>2024-12-16</t>
  </si>
  <si>
    <t>2024-12-19</t>
  </si>
  <si>
    <t>ORD-1063</t>
  </si>
  <si>
    <t>2023-04-27</t>
  </si>
  <si>
    <t>2023-05-02</t>
  </si>
  <si>
    <t>ORD-1064</t>
  </si>
  <si>
    <t>2023-07-15</t>
  </si>
  <si>
    <t>2023-07-22</t>
  </si>
  <si>
    <t>ORD-1065</t>
  </si>
  <si>
    <t>2024-08-16</t>
  </si>
  <si>
    <t>2024-08-25</t>
  </si>
  <si>
    <t>ORD-1066</t>
  </si>
  <si>
    <t>2024-02-25</t>
  </si>
  <si>
    <t>2024-02-28</t>
  </si>
  <si>
    <t>ORD-1067</t>
  </si>
  <si>
    <t>2023-04-13</t>
  </si>
  <si>
    <t>2023-04-16</t>
  </si>
  <si>
    <t>ORD-1068</t>
  </si>
  <si>
    <t>2024-11-21</t>
  </si>
  <si>
    <t>ORD-1069</t>
  </si>
  <si>
    <t>2024-10-10</t>
  </si>
  <si>
    <t>2024-10-11</t>
  </si>
  <si>
    <t>ORD-1070</t>
  </si>
  <si>
    <t>2023-09-15</t>
  </si>
  <si>
    <t>ORD-1071</t>
  </si>
  <si>
    <t>2023-09-19</t>
  </si>
  <si>
    <t>2023-09-21</t>
  </si>
  <si>
    <t>ORD-1072</t>
  </si>
  <si>
    <t>2023-11-06</t>
  </si>
  <si>
    <t>2023-11-11</t>
  </si>
  <si>
    <t>ORD-1073</t>
  </si>
  <si>
    <t>2024-05-23</t>
  </si>
  <si>
    <t>2024-05-26</t>
  </si>
  <si>
    <t>ORD-1074</t>
  </si>
  <si>
    <t>2024-01-09</t>
  </si>
  <si>
    <t>2024-01-12</t>
  </si>
  <si>
    <t>ORD-1075</t>
  </si>
  <si>
    <t>2024-05-08</t>
  </si>
  <si>
    <t>2024-05-11</t>
  </si>
  <si>
    <t>ORD-1076</t>
  </si>
  <si>
    <t>2023-01-15</t>
  </si>
  <si>
    <t>2023-01-20</t>
  </si>
  <si>
    <t>10%</t>
  </si>
  <si>
    <t>ORD-1077</t>
  </si>
  <si>
    <t>2024-09-26</t>
  </si>
  <si>
    <t>2024-10-01</t>
  </si>
  <si>
    <t>ORD-1078</t>
  </si>
  <si>
    <t>2023-05-08</t>
  </si>
  <si>
    <t>ORD-1079</t>
  </si>
  <si>
    <t>ORD-1080</t>
  </si>
  <si>
    <t>2023-10-10</t>
  </si>
  <si>
    <t>2023-10-11</t>
  </si>
  <si>
    <t>New York City</t>
  </si>
  <si>
    <t>ORD-1081</t>
  </si>
  <si>
    <t>2023-08-01</t>
  </si>
  <si>
    <t>2023-08-02</t>
  </si>
  <si>
    <t>ORD-1082</t>
  </si>
  <si>
    <t>2024-11-07</t>
  </si>
  <si>
    <t>2024-11-08</t>
  </si>
  <si>
    <t>ORD-1083</t>
  </si>
  <si>
    <t>2023-03-07</t>
  </si>
  <si>
    <t>2023-03-11</t>
  </si>
  <si>
    <t>ORD-1084</t>
  </si>
  <si>
    <t>2024-02-16</t>
  </si>
  <si>
    <t>2024-02-18</t>
  </si>
  <si>
    <t>ORD-1085</t>
  </si>
  <si>
    <t>2024-10-18</t>
  </si>
  <si>
    <t>ORD-1086</t>
  </si>
  <si>
    <t>ORD-1087</t>
  </si>
  <si>
    <t>2023-04-04</t>
  </si>
  <si>
    <t>2023-04-07</t>
  </si>
  <si>
    <t>ORD-1088</t>
  </si>
  <si>
    <t>2024-11-12</t>
  </si>
  <si>
    <t>ORD-1089</t>
  </si>
  <si>
    <t>2024-01-21</t>
  </si>
  <si>
    <t>ORD-1090</t>
  </si>
  <si>
    <t>2023-11-13</t>
  </si>
  <si>
    <t>2023-11-20</t>
  </si>
  <si>
    <t>ORD-1091</t>
  </si>
  <si>
    <t>ORD-1092</t>
  </si>
  <si>
    <t>2024-04-07</t>
  </si>
  <si>
    <t xml:space="preserve">Consumer </t>
  </si>
  <si>
    <t>ORD-1093</t>
  </si>
  <si>
    <t>ORD-1094</t>
  </si>
  <si>
    <t>2023-01-08</t>
  </si>
  <si>
    <t>2023-01-12</t>
  </si>
  <si>
    <t>ORD-1095</t>
  </si>
  <si>
    <t>2024-04-20</t>
  </si>
  <si>
    <t>ORD-1096</t>
  </si>
  <si>
    <t>2024-01-06</t>
  </si>
  <si>
    <t>2024-01-08</t>
  </si>
  <si>
    <t>ORD-1097</t>
  </si>
  <si>
    <t>2024-06-06</t>
  </si>
  <si>
    <t>2024-06-09</t>
  </si>
  <si>
    <t>ORD-1098</t>
  </si>
  <si>
    <t>2023-06-06</t>
  </si>
  <si>
    <t>2023-06-14</t>
  </si>
  <si>
    <t>ORD-1099</t>
  </si>
  <si>
    <t>2024-03-28</t>
  </si>
  <si>
    <t>2024-04-02</t>
  </si>
  <si>
    <t>ORD-1100</t>
  </si>
  <si>
    <t>2024-10-22</t>
  </si>
  <si>
    <t>2024-10-23</t>
  </si>
  <si>
    <t>ORD-1101</t>
  </si>
  <si>
    <t>2024-04-06</t>
  </si>
  <si>
    <t>2024-04-14</t>
  </si>
  <si>
    <t>ORD-1102</t>
  </si>
  <si>
    <t>ORD-1103</t>
  </si>
  <si>
    <t>2023-03-25</t>
  </si>
  <si>
    <t>2023-04-01</t>
  </si>
  <si>
    <t>Presentation Binder</t>
  </si>
  <si>
    <t>ORD-1104</t>
  </si>
  <si>
    <t>2024-11-17</t>
  </si>
  <si>
    <t>ORD-1105</t>
  </si>
  <si>
    <t>not available</t>
  </si>
  <si>
    <t>ORD-1106</t>
  </si>
  <si>
    <t>2023-06-16</t>
  </si>
  <si>
    <t>2023-06-20</t>
  </si>
  <si>
    <t>ORD-1107</t>
  </si>
  <si>
    <t>2023-09-10</t>
  </si>
  <si>
    <t>ORD-1108</t>
  </si>
  <si>
    <t>2023-02-23</t>
  </si>
  <si>
    <t>2023-03-04</t>
  </si>
  <si>
    <t>ORD-1109</t>
  </si>
  <si>
    <t>2023-05-31</t>
  </si>
  <si>
    <t>2023-06-07</t>
  </si>
  <si>
    <t>ORD-1110</t>
  </si>
  <si>
    <t>2023-08-18</t>
  </si>
  <si>
    <t>2023-08-21</t>
  </si>
  <si>
    <t>ORD-1111</t>
  </si>
  <si>
    <t>2024-09-22</t>
  </si>
  <si>
    <t>ORD-1112</t>
  </si>
  <si>
    <t>2023-09-03</t>
  </si>
  <si>
    <t>ORD-1113</t>
  </si>
  <si>
    <t>2023-12-28</t>
  </si>
  <si>
    <t>2024-01-03</t>
  </si>
  <si>
    <t>ORD-1114</t>
  </si>
  <si>
    <t>2024-02-01</t>
  </si>
  <si>
    <t>2024-02-03</t>
  </si>
  <si>
    <t>ORD-1115</t>
  </si>
  <si>
    <t>2024-04-28</t>
  </si>
  <si>
    <t>ORD-1116</t>
  </si>
  <si>
    <t>2023-11-14</t>
  </si>
  <si>
    <t>ORD-1117</t>
  </si>
  <si>
    <t>2024-02-14</t>
  </si>
  <si>
    <t>ORD-1118</t>
  </si>
  <si>
    <t>2024-09-08</t>
  </si>
  <si>
    <t>2024-09-13</t>
  </si>
  <si>
    <t>ORD-1119</t>
  </si>
  <si>
    <t>2023-02-13</t>
  </si>
  <si>
    <t>2023-02-20</t>
  </si>
  <si>
    <t>ORD-1120</t>
  </si>
  <si>
    <t>2023-05-10</t>
  </si>
  <si>
    <t>2023-05-13</t>
  </si>
  <si>
    <t>ORD-1121</t>
  </si>
  <si>
    <t>2024-01-11</t>
  </si>
  <si>
    <t>2024-01-14</t>
  </si>
  <si>
    <t>ORD-1122</t>
  </si>
  <si>
    <t>2024-12-24</t>
  </si>
  <si>
    <t>ORD-1123</t>
  </si>
  <si>
    <t>2023-11-24</t>
  </si>
  <si>
    <t>ORD-1124</t>
  </si>
  <si>
    <t>2024-05-20</t>
  </si>
  <si>
    <t>ORD-1125</t>
  </si>
  <si>
    <t>2024-08-11</t>
  </si>
  <si>
    <t>2024-08-20</t>
  </si>
  <si>
    <t>ORD-1126</t>
  </si>
  <si>
    <t>2024-06-14</t>
  </si>
  <si>
    <t>2024-06-23</t>
  </si>
  <si>
    <t>ORD-1127</t>
  </si>
  <si>
    <t>2023-11-07</t>
  </si>
  <si>
    <t>2023-11-10</t>
  </si>
  <si>
    <t>ORD-1128</t>
  </si>
  <si>
    <t>2023-02-16</t>
  </si>
  <si>
    <t>2023-02-17</t>
  </si>
  <si>
    <t>ORD-1129</t>
  </si>
  <si>
    <t>2024-12-02</t>
  </si>
  <si>
    <t>2024-12-09</t>
  </si>
  <si>
    <t>ORD-1130</t>
  </si>
  <si>
    <t>2023-11-23</t>
  </si>
  <si>
    <t>2023-11-25</t>
  </si>
  <si>
    <t>ORD-1131</t>
  </si>
  <si>
    <t>2023-05-25</t>
  </si>
  <si>
    <t>2023-05-28</t>
  </si>
  <si>
    <t>ORD-1132</t>
  </si>
  <si>
    <t>2024-04-23</t>
  </si>
  <si>
    <t>2024-04-27</t>
  </si>
  <si>
    <t>ORD-1133</t>
  </si>
  <si>
    <t>2024-09-03</t>
  </si>
  <si>
    <t>2024-09-10</t>
  </si>
  <si>
    <t>ORD-1134</t>
  </si>
  <si>
    <t>2023-02-22</t>
  </si>
  <si>
    <t>2023-03-03</t>
  </si>
  <si>
    <t>digital wallet</t>
  </si>
  <si>
    <t>ORD-1135</t>
  </si>
  <si>
    <t>2024-02-08</t>
  </si>
  <si>
    <t>ORD-1136</t>
  </si>
  <si>
    <t>2024-04-12</t>
  </si>
  <si>
    <t>2024-04-19</t>
  </si>
  <si>
    <t>ORD-1137</t>
  </si>
  <si>
    <t>2023-01-18</t>
  </si>
  <si>
    <t>2023-01-19</t>
  </si>
  <si>
    <t>ORD-1138</t>
  </si>
  <si>
    <t>2024-06-20</t>
  </si>
  <si>
    <t>2024-06-22</t>
  </si>
  <si>
    <t>ORD-1139</t>
  </si>
  <si>
    <t>2024-12-08</t>
  </si>
  <si>
    <t>2024-12-11</t>
  </si>
  <si>
    <t>ORD-1140</t>
  </si>
  <si>
    <t>2023-07-02</t>
  </si>
  <si>
    <t>ORD-1141</t>
  </si>
  <si>
    <t>2023-10-28</t>
  </si>
  <si>
    <t>ORD-1142</t>
  </si>
  <si>
    <t>2023-02-21</t>
  </si>
  <si>
    <t>ORD-1143</t>
  </si>
  <si>
    <t>ORD-1144</t>
  </si>
  <si>
    <t>2024-11-28</t>
  </si>
  <si>
    <t>ORD-1145</t>
  </si>
  <si>
    <t>ORD-1146</t>
  </si>
  <si>
    <t>2023-11-02</t>
  </si>
  <si>
    <t>ORD-1147</t>
  </si>
  <si>
    <t>2023-06-21</t>
  </si>
  <si>
    <t>ORD-1148</t>
  </si>
  <si>
    <t>2024-11-16</t>
  </si>
  <si>
    <t>2024-11-23</t>
  </si>
  <si>
    <t>ORD-1149</t>
  </si>
  <si>
    <t>2024-11-03</t>
  </si>
  <si>
    <t>ORD-1150</t>
  </si>
  <si>
    <t>2024-09-21</t>
  </si>
  <si>
    <t>2024-09-27</t>
  </si>
  <si>
    <t>ORD-1151</t>
  </si>
  <si>
    <t>2024-09-02</t>
  </si>
  <si>
    <t>2024-09-04</t>
  </si>
  <si>
    <t>ORD-1152</t>
  </si>
  <si>
    <t>2024-06-16</t>
  </si>
  <si>
    <t>2024-06-25</t>
  </si>
  <si>
    <t>ORD-1153</t>
  </si>
  <si>
    <t>2023-03-01</t>
  </si>
  <si>
    <t>2023-03-02</t>
  </si>
  <si>
    <t>ORD-1154</t>
  </si>
  <si>
    <t>ORD-1155</t>
  </si>
  <si>
    <t>2024-01-20</t>
  </si>
  <si>
    <t>2024-01-29</t>
  </si>
  <si>
    <t>ORD-1156</t>
  </si>
  <si>
    <t>2023-11-08</t>
  </si>
  <si>
    <t>ORD-1157</t>
  </si>
  <si>
    <t>2024-03-05</t>
  </si>
  <si>
    <t>2024-03-13</t>
  </si>
  <si>
    <t>ORD-1158</t>
  </si>
  <si>
    <t>2023-08-11</t>
  </si>
  <si>
    <t>ORD-1159</t>
  </si>
  <si>
    <t>2023-10-09</t>
  </si>
  <si>
    <t>ORD-1160</t>
  </si>
  <si>
    <t>2023-06-02</t>
  </si>
  <si>
    <t>ORD-1161</t>
  </si>
  <si>
    <t>2024-07-24</t>
  </si>
  <si>
    <t>2024-07-26</t>
  </si>
  <si>
    <t>ORD-1162</t>
  </si>
  <si>
    <t>2024-01-22</t>
  </si>
  <si>
    <t>2024-01-31</t>
  </si>
  <si>
    <t>ORD-1163</t>
  </si>
  <si>
    <t>2023-07-14</t>
  </si>
  <si>
    <t>2023-07-18</t>
  </si>
  <si>
    <t>ORD-1164</t>
  </si>
  <si>
    <t>2024-10-26</t>
  </si>
  <si>
    <t>ORD-1165</t>
  </si>
  <si>
    <t>2023-08-15</t>
  </si>
  <si>
    <t>ORD-1166</t>
  </si>
  <si>
    <t>2023-09-09</t>
  </si>
  <si>
    <t>2023-09-17</t>
  </si>
  <si>
    <t>ORD-1167</t>
  </si>
  <si>
    <t>2024-07-10</t>
  </si>
  <si>
    <t>ORD-1168</t>
  </si>
  <si>
    <t>2023-06-04</t>
  </si>
  <si>
    <t>2023-06-12</t>
  </si>
  <si>
    <t>ORD-1169</t>
  </si>
  <si>
    <t>2024-06-26</t>
  </si>
  <si>
    <t>2024-06-29</t>
  </si>
  <si>
    <t>ORD-1170</t>
  </si>
  <si>
    <t>2023-10-05</t>
  </si>
  <si>
    <t>ORD-1171</t>
  </si>
  <si>
    <t>2024-01-24</t>
  </si>
  <si>
    <t>ORD-1172</t>
  </si>
  <si>
    <t>2023-08-10</t>
  </si>
  <si>
    <t>ORD-1173</t>
  </si>
  <si>
    <t>2024-02-19</t>
  </si>
  <si>
    <t>ORD-1174</t>
  </si>
  <si>
    <t>2023-04-11</t>
  </si>
  <si>
    <t>2023-04-18</t>
  </si>
  <si>
    <t>ORD-1175</t>
  </si>
  <si>
    <t>2024-07-20</t>
  </si>
  <si>
    <t>2024-07-25</t>
  </si>
  <si>
    <t>ORD-1176</t>
  </si>
  <si>
    <t>2024-12-29</t>
  </si>
  <si>
    <t>2025-01-03</t>
  </si>
  <si>
    <t>ORD-1177</t>
  </si>
  <si>
    <t>2024-03-17</t>
  </si>
  <si>
    <t>2024-03-19</t>
  </si>
  <si>
    <t>ORD-1178</t>
  </si>
  <si>
    <t>2024-07-31</t>
  </si>
  <si>
    <t>ORD-1179</t>
  </si>
  <si>
    <t>2024-03-07</t>
  </si>
  <si>
    <t>2024-03-15</t>
  </si>
  <si>
    <t>ORD-1180</t>
  </si>
  <si>
    <t>2023-12-10</t>
  </si>
  <si>
    <t>ORD-1181</t>
  </si>
  <si>
    <t>ORD-1182</t>
  </si>
  <si>
    <t>2024-07-22</t>
  </si>
  <si>
    <t>ORD-1183</t>
  </si>
  <si>
    <t>2024-11-05</t>
  </si>
  <si>
    <t>2024-11-13</t>
  </si>
  <si>
    <t>ORD-1184</t>
  </si>
  <si>
    <t>2024-07-03</t>
  </si>
  <si>
    <t>ORD-1185</t>
  </si>
  <si>
    <t>2023-04-19</t>
  </si>
  <si>
    <t>2023-04-23</t>
  </si>
  <si>
    <t>ORD-1186</t>
  </si>
  <si>
    <t>2024-05-09</t>
  </si>
  <si>
    <t>ORD-1187</t>
  </si>
  <si>
    <t>2024-05-02</t>
  </si>
  <si>
    <t>2024-05-04</t>
  </si>
  <si>
    <t>ORD-1188</t>
  </si>
  <si>
    <t>2023-06-28</t>
  </si>
  <si>
    <t>ORD-1189</t>
  </si>
  <si>
    <t>2024-08-29</t>
  </si>
  <si>
    <t>2024-08-31</t>
  </si>
  <si>
    <t>ORD-1190</t>
  </si>
  <si>
    <t>ORD-1191</t>
  </si>
  <si>
    <t>2023-06-26</t>
  </si>
  <si>
    <t>2023-06-29</t>
  </si>
  <si>
    <t>ORD-1192</t>
  </si>
  <si>
    <t>2024-12-18</t>
  </si>
  <si>
    <t>ORD-1193</t>
  </si>
  <si>
    <t>2023-05-24</t>
  </si>
  <si>
    <t>2023-06-01</t>
  </si>
  <si>
    <t>ORD-1194</t>
  </si>
  <si>
    <t>2024-05-18</t>
  </si>
  <si>
    <t>ORD-1195</t>
  </si>
  <si>
    <t>2024-08-02</t>
  </si>
  <si>
    <t>2024-08-08</t>
  </si>
  <si>
    <t>ORD-1196</t>
  </si>
  <si>
    <t>2024-11-02</t>
  </si>
  <si>
    <t>ORD-1197</t>
  </si>
  <si>
    <t>ORD-1198</t>
  </si>
  <si>
    <t>2024-02-26</t>
  </si>
  <si>
    <t>2024-03-03</t>
  </si>
  <si>
    <t>ORD-1199</t>
  </si>
  <si>
    <t>ORD-1200</t>
  </si>
  <si>
    <t>ORD-1201</t>
  </si>
  <si>
    <t>2024-08-14</t>
  </si>
  <si>
    <t>ORD-1202</t>
  </si>
  <si>
    <t>2024-04-17</t>
  </si>
  <si>
    <t>ORD-1203</t>
  </si>
  <si>
    <t>2024-01-16</t>
  </si>
  <si>
    <t>ORD-1204</t>
  </si>
  <si>
    <t>2024-05-03</t>
  </si>
  <si>
    <t>ORD-1205</t>
  </si>
  <si>
    <t>2023-04-02</t>
  </si>
  <si>
    <t>ORD-1206</t>
  </si>
  <si>
    <t>2023-08-07</t>
  </si>
  <si>
    <t>ORD-1207</t>
  </si>
  <si>
    <t>2023-11-19</t>
  </si>
  <si>
    <t>ORD-1208</t>
  </si>
  <si>
    <t>ORD-1209</t>
  </si>
  <si>
    <t>2024-07-13</t>
  </si>
  <si>
    <t>2024-07-15</t>
  </si>
  <si>
    <t>ORD-1210</t>
  </si>
  <si>
    <t>2023-10-21</t>
  </si>
  <si>
    <t>2023-10-30</t>
  </si>
  <si>
    <t>ORD-1211</t>
  </si>
  <si>
    <t>2024-07-07</t>
  </si>
  <si>
    <t>ORD-1212</t>
  </si>
  <si>
    <t>2024-09-15</t>
  </si>
  <si>
    <t>2024-09-16</t>
  </si>
  <si>
    <t>ORD-1213</t>
  </si>
  <si>
    <t>2023-05-17</t>
  </si>
  <si>
    <t>ORD-1214</t>
  </si>
  <si>
    <t>2024-06-07</t>
  </si>
  <si>
    <t>2024-06-12</t>
  </si>
  <si>
    <t>ORD-1215</t>
  </si>
  <si>
    <t>ORD-1216</t>
  </si>
  <si>
    <t>2023-03-30</t>
  </si>
  <si>
    <t>ORD-1217</t>
  </si>
  <si>
    <t>ORD-1218</t>
  </si>
  <si>
    <t>2024-07-19</t>
  </si>
  <si>
    <t>ORD-1219</t>
  </si>
  <si>
    <t>2023-07-30</t>
  </si>
  <si>
    <t>ORD-1220</t>
  </si>
  <si>
    <t>2023-03-28</t>
  </si>
  <si>
    <t>2023-03-29</t>
  </si>
  <si>
    <t>ORD-1221</t>
  </si>
  <si>
    <t>2024-02-07</t>
  </si>
  <si>
    <t>2024-02-11</t>
  </si>
  <si>
    <t>ORD-1222</t>
  </si>
  <si>
    <t>2024-04-22</t>
  </si>
  <si>
    <t>2024-04-30</t>
  </si>
  <si>
    <t>ORD-1223</t>
  </si>
  <si>
    <t>2023-12-02</t>
  </si>
  <si>
    <t>ORD-1224</t>
  </si>
  <si>
    <t>2024-04-18</t>
  </si>
  <si>
    <t>2024-04-25</t>
  </si>
  <si>
    <t>ORD-1225</t>
  </si>
  <si>
    <t>2023-03-08</t>
  </si>
  <si>
    <t>ORD-1226</t>
  </si>
  <si>
    <t>2024-02-09</t>
  </si>
  <si>
    <t>ORD-1227</t>
  </si>
  <si>
    <t>ORD-1228</t>
  </si>
  <si>
    <t>2024-01-10</t>
  </si>
  <si>
    <t>ORD-1229</t>
  </si>
  <si>
    <t>ORD-1230</t>
  </si>
  <si>
    <t>2024-02-02</t>
  </si>
  <si>
    <t>ORD-1231</t>
  </si>
  <si>
    <t>ORD-1232</t>
  </si>
  <si>
    <t>2023-12-15</t>
  </si>
  <si>
    <t>2023-12-18</t>
  </si>
  <si>
    <t>ORD-1233</t>
  </si>
  <si>
    <t>2023-04-14</t>
  </si>
  <si>
    <t>2023-04-21</t>
  </si>
  <si>
    <t>ORD-1234</t>
  </si>
  <si>
    <t>2024-08-26</t>
  </si>
  <si>
    <t>2024-08-27</t>
  </si>
  <si>
    <t>ORD-1235</t>
  </si>
  <si>
    <t>ORD-1236</t>
  </si>
  <si>
    <t>2023-09-29</t>
  </si>
  <si>
    <t>2023-09-30</t>
  </si>
  <si>
    <t>ORD-1237</t>
  </si>
  <si>
    <t>2023-12-26</t>
  </si>
  <si>
    <t>2023-12-30</t>
  </si>
  <si>
    <t>ORD-1238</t>
  </si>
  <si>
    <t>2023-09-27</t>
  </si>
  <si>
    <t>ORD-1239</t>
  </si>
  <si>
    <t>2023-06-18</t>
  </si>
  <si>
    <t>2023-06-22</t>
  </si>
  <si>
    <t>ORD-1240</t>
  </si>
  <si>
    <t>2023-04-09</t>
  </si>
  <si>
    <t>ORD-1241</t>
  </si>
  <si>
    <t>2023-06-24</t>
  </si>
  <si>
    <t>2023-07-01</t>
  </si>
  <si>
    <t>ORD-1242</t>
  </si>
  <si>
    <t>2024-01-30</t>
  </si>
  <si>
    <t>ORD-1243</t>
  </si>
  <si>
    <t>2023-12-19</t>
  </si>
  <si>
    <t>ORD-1244</t>
  </si>
  <si>
    <t>2023-02-08</t>
  </si>
  <si>
    <t>ORD-1245</t>
  </si>
  <si>
    <t>2024-03-21</t>
  </si>
  <si>
    <t>2024-03-23</t>
  </si>
  <si>
    <t>ORD-1246</t>
  </si>
  <si>
    <t>2024-04-16</t>
  </si>
  <si>
    <t>ORD-1247</t>
  </si>
  <si>
    <t>ORD-1248</t>
  </si>
  <si>
    <t>ORD-1249</t>
  </si>
  <si>
    <t>2024-03-02</t>
  </si>
  <si>
    <t>2024-03-09</t>
  </si>
  <si>
    <t>ORD-1250</t>
  </si>
  <si>
    <t>2024-12-27</t>
  </si>
  <si>
    <t>2024-12-28</t>
  </si>
  <si>
    <t xml:space="preserve">West </t>
  </si>
  <si>
    <t>Standard class</t>
  </si>
  <si>
    <t>Digital wallet</t>
  </si>
  <si>
    <t>Sales_Analysis</t>
  </si>
  <si>
    <t>KPI</t>
  </si>
  <si>
    <t>Total Sales</t>
  </si>
  <si>
    <t>Total Cleaned Sales</t>
  </si>
  <si>
    <t>Sales_cleaned</t>
  </si>
  <si>
    <t>Total Profit</t>
  </si>
  <si>
    <t>Profit Margin</t>
  </si>
  <si>
    <t>Total Orders</t>
  </si>
  <si>
    <t>Total Units Sold</t>
  </si>
  <si>
    <t>Quantity_Cleaned</t>
  </si>
  <si>
    <t>Total Cleaned Units Sold</t>
  </si>
  <si>
    <t>Row Labels</t>
  </si>
  <si>
    <t>Grand Total</t>
  </si>
  <si>
    <t>Sum of Sales_cleaned</t>
  </si>
  <si>
    <t>Sum of Profit</t>
  </si>
  <si>
    <t>Region_Cleaned</t>
  </si>
  <si>
    <t>Profit_Margin</t>
  </si>
  <si>
    <t>Unknown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</si>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</sst>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0" applyNumberFormat="1"/>
    <xf numFmtId="49" fontId="1" fillId="2" borderId="2" xfId="0" applyNumberFormat="1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vertical="center" wrapText="1"/>
    </xf>
    <xf numFmtId="9" fontId="1" fillId="2" borderId="2" xfId="0" applyNumberFormat="1" applyFont="1" applyFill="1" applyBorder="1" applyAlignment="1">
      <alignment vertical="center" wrapText="1"/>
    </xf>
    <xf numFmtId="164" fontId="0" fillId="0" borderId="0" xfId="0" applyNumberFormat="1"/>
    <xf numFmtId="164" fontId="2" fillId="2" borderId="2" xfId="0" applyNumberFormat="1" applyFont="1" applyFill="1" applyBorder="1" applyAlignment="1">
      <alignment vertical="center" wrapText="1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vertical="center" wrapTex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4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64" formatCode="[$-F800]dddd\,\ mmmm\ dd\,\ yyyy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[Retail_Sales_.xlsx]Category_Analysis!PivotTable1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Sum of Sales_cleaned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Category_Analysis!$B$4:$B$7</c:f>
              <c:numCache>
                <c:formatCode>0.00</c:formatCode>
                <c:ptCount val="3"/>
                <c:pt idx="0">
                  <c:v>56783.44000000001</c:v>
                </c:pt>
                <c:pt idx="1">
                  <c:v>94587.460000000021</c:v>
                </c:pt>
                <c:pt idx="2">
                  <c:v>63048.230000000032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0-46EB-BCD2-76F51BAF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082240"/>
        <c:axId val="1643083680"/>
      </c:barChart>
      <c:barChart>
        <c:barDir val="col"/>
        <c:grouping val="clustered"/>
        <c:varyColors val="0"/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Category_Analysis!$C$4:$C$7</c:f>
              <c:numCache>
                <c:formatCode>General</c:formatCode>
                <c:ptCount val="3"/>
                <c:pt idx="0">
                  <c:v>2049.1099999999997</c:v>
                </c:pt>
                <c:pt idx="1">
                  <c:v>3935.3599999999992</c:v>
                </c:pt>
                <c:pt idx="2">
                  <c:v>2277.1800000000021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F0-46EB-BCD2-76F51BAF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102512"/>
        <c:axId val="1443107312"/>
      </c:barChart>
      <c:catAx>
        <c:axId val="164308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83680"/>
        <c:crosses val="autoZero"/>
        <c:auto val="1"/>
        <c:lblAlgn val="ctr"/>
        <c:lblOffset val="100"/>
        <c:noMultiLvlLbl val="0"/>
      </c:catAx>
      <c:valAx>
        <c:axId val="16430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82240"/>
        <c:crosses val="autoZero"/>
        <c:crossBetween val="between"/>
      </c:valAx>
      <c:valAx>
        <c:axId val="144310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102512"/>
        <c:crosses val="max"/>
        <c:crossBetween val="between"/>
      </c:valAx>
      <c:catAx>
        <c:axId val="1443102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310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[Retail_Sales_.xlsx]Region_Analysis!PivotTable2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</a:p>
        </c:rich>
      </c:tx>
      <c:layout>
        <c:manualLayout>
          <c:xMode val="edge"/>
          <c:yMode val="edge"/>
          <c:x val="0.4442915573053368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Sum of Sales_cleaned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Region_Analysis!$B$4:$B$9</c:f>
              <c:numCache>
                <c:formatCode>0.00</c:formatCode>
                <c:ptCount val="5"/>
                <c:pt idx="0">
                  <c:v>55778.10000000002</c:v>
                </c:pt>
                <c:pt idx="1">
                  <c:v>57446.099999999977</c:v>
                </c:pt>
                <c:pt idx="2">
                  <c:v>47670.700000000012</c:v>
                </c:pt>
                <c:pt idx="3">
                  <c:v>53216.120000000017</c:v>
                </c:pt>
                <c:pt idx="4">
                  <c:v>308.11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4-4E36-A735-B156E1DAE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823456"/>
        <c:axId val="1644823936"/>
      </c:barChart>
      <c:barChart>
        <c:barDir val="bar"/>
        <c:grouping val="clustered"/>
        <c:varyColors val="0"/>
        <c:ser>
          <c:idx val="1"/>
          <c:order val="1"/>
          <c:tx>
            <c:strRef>
              <c:f>Region_Analysis!$C$3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Region_Analysis!$A$4:$A$9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Region_Analysis!$C$4:$C$9</c:f>
              <c:numCache>
                <c:formatCode>General</c:formatCode>
                <c:ptCount val="5"/>
                <c:pt idx="0">
                  <c:v>2624.5</c:v>
                </c:pt>
                <c:pt idx="1">
                  <c:v>1528.3899999999994</c:v>
                </c:pt>
                <c:pt idx="2">
                  <c:v>2448.8500000000008</c:v>
                </c:pt>
                <c:pt idx="3">
                  <c:v>1685.5200000000004</c:v>
                </c:pt>
                <c:pt idx="4">
                  <c:v>-25.61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4-4E36-A735-B156E1DAE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3113072"/>
        <c:axId val="1443110192"/>
      </c:barChart>
      <c:catAx>
        <c:axId val="164482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23936"/>
        <c:crosses val="autoZero"/>
        <c:auto val="1"/>
        <c:lblAlgn val="ctr"/>
        <c:lblOffset val="100"/>
        <c:noMultiLvlLbl val="0"/>
      </c:catAx>
      <c:valAx>
        <c:axId val="164482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23456"/>
        <c:crosses val="autoZero"/>
        <c:crossBetween val="between"/>
      </c:valAx>
      <c:valAx>
        <c:axId val="144311019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113072"/>
        <c:crosses val="max"/>
        <c:crossBetween val="between"/>
      </c:valAx>
      <c:catAx>
        <c:axId val="144311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311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</xdr:row>
      <xdr:rowOff>0</xdr:rowOff>
    </xdr:from>
    <xdr:to>
      <xdr:col>12</xdr:col>
      <xdr:colOff>297180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FF1E3-764F-5600-C116-1FAB080B9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7620</xdr:rowOff>
    </xdr:from>
    <xdr:to>
      <xdr:col>12</xdr:col>
      <xdr:colOff>312420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1F358-B2F2-51F6-664F-18CB02261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0.868752430557" createdVersion="8" refreshedVersion="8" minRefreshableVersion="3" recordCount="250" xr:uid="{1D8BBF91-9146-4AF7-BBDD-77819C5D69B7}">
  <cacheSource type="worksheet">
    <worksheetSource name="Table1"/>
  </cacheSource>
  <cacheFields count="21">
    <cacheField name="Order ID" numFmtId="49">
      <sharedItems/>
    </cacheField>
    <cacheField name="Order Date" numFmtId="164">
      <sharedItems containsNonDate="0" containsDate="1" containsString="0" containsBlank="1" minDate="2023-01-08T00:00:00" maxDate="2024-12-30T00:00:00"/>
    </cacheField>
    <cacheField name="Ship Date" numFmtId="14">
      <sharedItems containsBlank="1"/>
    </cacheField>
    <cacheField name="Customer Name" numFmtId="49">
      <sharedItems containsBlank="1"/>
    </cacheField>
    <cacheField name="Segment" numFmtId="49">
      <sharedItems/>
    </cacheField>
    <cacheField name="Region" numFmtId="49">
      <sharedItems containsBlank="1"/>
    </cacheField>
    <cacheField name="Region_Cleaned" numFmtId="0">
      <sharedItems count="6">
        <s v="South"/>
        <s v="Central"/>
        <s v="West"/>
        <s v="East"/>
        <s v="Unknown"/>
        <s v="" u="1"/>
      </sharedItems>
    </cacheField>
    <cacheField name="State" numFmtId="49">
      <sharedItems/>
    </cacheField>
    <cacheField name="City" numFmtId="49">
      <sharedItems/>
    </cacheField>
    <cacheField name="Category" numFmtId="49">
      <sharedItems count="3">
        <s v="Technology"/>
        <s v="Furniture"/>
        <s v="Office Supplies"/>
      </sharedItems>
    </cacheField>
    <cacheField name="Sub-Category" numFmtId="49">
      <sharedItems count="6">
        <s v="Accessories"/>
        <s v="Tables"/>
        <s v="Chairs"/>
        <s v="Phones"/>
        <s v="Binders"/>
        <s v="Paper"/>
      </sharedItems>
    </cacheField>
    <cacheField name="Product Name" numFmtId="49">
      <sharedItems containsBlank="1"/>
    </cacheField>
    <cacheField name="Quantity" numFmtId="1">
      <sharedItems containsString="0" containsBlank="1" containsNumber="1" containsInteger="1" minValue="-3" maxValue="8"/>
    </cacheField>
    <cacheField name="Quantity_Cleaned" numFmtId="1">
      <sharedItems containsMixedTypes="1" containsNumber="1" containsInteger="1" minValue="1" maxValue="8"/>
    </cacheField>
    <cacheField name="Unit Price" numFmtId="2">
      <sharedItems containsString="0" containsBlank="1" containsNumber="1" minValue="9.18" maxValue="448.1"/>
    </cacheField>
    <cacheField name="Discount" numFmtId="9">
      <sharedItems containsString="0" containsBlank="1" containsNumber="1" minValue="0" maxValue="0.3" count="7">
        <n v="0.05"/>
        <n v="0.3"/>
        <n v="0.1"/>
        <n v="0.15"/>
        <n v="0"/>
        <n v="0.2"/>
        <m/>
      </sharedItems>
    </cacheField>
    <cacheField name="Sales" numFmtId="2">
      <sharedItems containsString="0" containsBlank="1" containsNumber="1" minValue="23.41" maxValue="3438.96"/>
    </cacheField>
    <cacheField name="Sales_cleaned" numFmtId="2">
      <sharedItems containsSemiMixedTypes="0" containsString="0" containsNumber="1" minValue="23.41" maxValue="3438.96"/>
    </cacheField>
    <cacheField name="Profit" numFmtId="2">
      <sharedItems containsString="0" containsBlank="1" containsNumber="1" minValue="-592.61" maxValue="691.44"/>
    </cacheField>
    <cacheField name="Ship Mode" numFmtId="49">
      <sharedItems/>
    </cacheField>
    <cacheField name="Payment Typ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-1001"/>
    <d v="2023-04-25T00:00:00"/>
    <s v="2023-05-04"/>
    <s v="Meera Patel"/>
    <s v="Home Office"/>
    <s v="South"/>
    <x v="0"/>
    <s v="California"/>
    <s v="San Francisco"/>
    <x v="0"/>
    <x v="0"/>
    <s v="Keyboard"/>
    <n v="5"/>
    <n v="5"/>
    <n v="116.24"/>
    <x v="0"/>
    <n v="552.14"/>
    <n v="552.14"/>
    <n v="87.67"/>
    <s v="Standard Class"/>
    <s v="Card"/>
  </r>
  <r>
    <s v="ORD-1002"/>
    <d v="2023-08-27T00:00:00"/>
    <s v="2023-09-05"/>
    <s v="Anaya Rao"/>
    <s v="Consumer"/>
    <s v="South"/>
    <x v="0"/>
    <s v="Illinois"/>
    <s v="Peoria"/>
    <x v="1"/>
    <x v="1"/>
    <s v="Side Table"/>
    <n v="1"/>
    <n v="1"/>
    <n v="256.07"/>
    <x v="1"/>
    <n v="179.25"/>
    <n v="179.25"/>
    <n v="21.32"/>
    <s v="First Class"/>
    <s v="Card"/>
  </r>
  <r>
    <s v="ORD-1003"/>
    <d v="2024-12-15T00:00:00"/>
    <s v="2024-12-22"/>
    <s v="Meera Patel"/>
    <s v="Corporate"/>
    <s v="Central"/>
    <x v="1"/>
    <s v="Florida"/>
    <s v="Orlando"/>
    <x v="1"/>
    <x v="1"/>
    <s v="Side Table"/>
    <n v="5"/>
    <n v="5"/>
    <n v="76.72"/>
    <x v="2"/>
    <n v="345.24"/>
    <n v="345.24"/>
    <n v="-45.91"/>
    <s v="First Class"/>
    <s v="Card"/>
  </r>
  <r>
    <s v="ORD-1004"/>
    <d v="2024-04-15T00:00:00"/>
    <s v="2024-04-21"/>
    <s v="Sara Khan"/>
    <s v="Home Office"/>
    <s v="West"/>
    <x v="2"/>
    <s v="Illinois"/>
    <s v="Chicago"/>
    <x v="0"/>
    <x v="0"/>
    <s v="Keyboard"/>
    <n v="7"/>
    <n v="7"/>
    <n v="42.83"/>
    <x v="2"/>
    <n v="269.83"/>
    <n v="269.83"/>
    <n v="54.38"/>
    <s v="Second Class"/>
    <s v="Bank Transfer"/>
  </r>
  <r>
    <s v="ORD-1005"/>
    <d v="2023-08-27T00:00:00"/>
    <s v="2023-09-02"/>
    <s v="Sara Khan"/>
    <s v="Home Office"/>
    <s v="Central"/>
    <x v="1"/>
    <s v="California"/>
    <s v="San Diego"/>
    <x v="1"/>
    <x v="2"/>
    <s v="Visitor Chair"/>
    <n v="5"/>
    <n v="5"/>
    <n v="208.41"/>
    <x v="2"/>
    <n v="937.85"/>
    <n v="937.85"/>
    <n v="-98.64"/>
    <s v="Standard Class"/>
    <s v="Cash"/>
  </r>
  <r>
    <s v="ORD-1006"/>
    <d v="2023-09-08T00:00:00"/>
    <s v="2023-09-12"/>
    <s v="Dev Mehta"/>
    <s v="Consumer"/>
    <s v="East"/>
    <x v="3"/>
    <s v="New York"/>
    <s v="Buffalo"/>
    <x v="0"/>
    <x v="3"/>
    <s v="Desk Phone"/>
    <n v="7"/>
    <n v="7"/>
    <n v="127.32"/>
    <x v="1"/>
    <n v="623.87"/>
    <n v="623.87"/>
    <n v="85.19"/>
    <s v="First Class"/>
    <s v="Digital Wallet"/>
  </r>
  <r>
    <s v="ORD-1007"/>
    <d v="2023-03-09T00:00:00"/>
    <s v="2023-03-17"/>
    <s v="Kabir Joshi"/>
    <s v="Corporate"/>
    <s v="East"/>
    <x v="3"/>
    <s v="New York"/>
    <s v="Albany"/>
    <x v="2"/>
    <x v="4"/>
    <s v="Ring Binder"/>
    <n v="6"/>
    <n v="6"/>
    <n v="101.98"/>
    <x v="3"/>
    <n v="520.1"/>
    <n v="520.1"/>
    <n v="1.04"/>
    <s v="First Class"/>
    <s v="Digital Wallet"/>
  </r>
  <r>
    <s v="ORD-1008"/>
    <d v="2024-02-13T00:00:00"/>
    <s v="2024-02-15"/>
    <m/>
    <s v="Home Office"/>
    <s v="East"/>
    <x v="3"/>
    <s v="Texas"/>
    <s v="Houston"/>
    <x v="0"/>
    <x v="3"/>
    <s v="Wireless Phone"/>
    <n v="3"/>
    <n v="3"/>
    <n v="233.21"/>
    <x v="4"/>
    <n v="699.63"/>
    <n v="699.63"/>
    <n v="117.3"/>
    <s v="Same Day"/>
    <s v="Card"/>
  </r>
  <r>
    <s v="ORD-1009"/>
    <d v="2024-01-26T00:00:00"/>
    <s v="2024-01-28"/>
    <s v="Riya Desai"/>
    <s v="Home Office"/>
    <s v="Central"/>
    <x v="1"/>
    <s v="Illinois"/>
    <s v="Springfield"/>
    <x v="2"/>
    <x v="5"/>
    <s v="A4 Paper"/>
    <n v="5"/>
    <n v="5"/>
    <n v="437.22"/>
    <x v="4"/>
    <n v="2186.1"/>
    <n v="2186.1"/>
    <n v="290.60000000000002"/>
    <s v="First Class"/>
    <s v="Digital Wallet"/>
  </r>
  <r>
    <s v="ORD-1010"/>
    <d v="2024-04-09T00:00:00"/>
    <s v="2024-04-11"/>
    <s v="Riya Desai"/>
    <s v="Home Office"/>
    <s v="East"/>
    <x v="3"/>
    <s v="California"/>
    <s v="San Francisco"/>
    <x v="1"/>
    <x v="1"/>
    <s v="Office Table"/>
    <n v="5"/>
    <n v="5"/>
    <n v="437.57"/>
    <x v="0"/>
    <n v="2078.46"/>
    <n v="2078.46"/>
    <n v="111.27"/>
    <s v="First Class"/>
    <s v="Cash"/>
  </r>
  <r>
    <s v="ORD-1011"/>
    <d v="2024-06-27T00:00:00"/>
    <s v="2024-07-02"/>
    <s v="Sara Khan"/>
    <s v="Consumer"/>
    <s v="East"/>
    <x v="3"/>
    <s v="California"/>
    <s v="San Francisco"/>
    <x v="0"/>
    <x v="3"/>
    <s v="Wireless Phone"/>
    <n v="6"/>
    <n v="6"/>
    <n v="223.96"/>
    <x v="4"/>
    <n v="1343.76"/>
    <n v="1343.76"/>
    <n v="332.43"/>
    <s v="Standard Class"/>
    <s v="Card"/>
  </r>
  <r>
    <s v="ORD-1012"/>
    <d v="2024-05-12T00:00:00"/>
    <s v="2024-05-15"/>
    <s v="Riya Desai"/>
    <s v="Home Office"/>
    <s v="South"/>
    <x v="0"/>
    <s v="California"/>
    <s v="San Francisco"/>
    <x v="0"/>
    <x v="0"/>
    <s v="Keyboard"/>
    <n v="3"/>
    <n v="3"/>
    <n v="64.75"/>
    <x v="3"/>
    <n v="165.11"/>
    <n v="165.11"/>
    <n v="42.19"/>
    <s v="Second Class"/>
    <s v="Bank Transfer"/>
  </r>
  <r>
    <s v="ORD-1013"/>
    <d v="2024-11-18T00:00:00"/>
    <s v="2024-11-22"/>
    <s v="Meera Patel"/>
    <s v="Corporate"/>
    <s v="West"/>
    <x v="2"/>
    <s v="Washington"/>
    <s v="Spokane"/>
    <x v="2"/>
    <x v="5"/>
    <s v="Copy Paper"/>
    <n v="8"/>
    <n v="8"/>
    <n v="405.63"/>
    <x v="3"/>
    <n v="2758.28"/>
    <n v="2758.28"/>
    <n v="-342.96"/>
    <s v="Second Class"/>
    <s v="Cash"/>
  </r>
  <r>
    <s v="ORD-1014"/>
    <d v="2023-03-14T00:00:00"/>
    <s v="2023-03-16"/>
    <s v="Sara Khan"/>
    <s v="Corporate"/>
    <s v="West "/>
    <x v="2"/>
    <s v="Washington"/>
    <s v="Tacoma"/>
    <x v="1"/>
    <x v="2"/>
    <s v="Ergo Chair"/>
    <n v="1"/>
    <n v="1"/>
    <n v="109.19"/>
    <x v="4"/>
    <n v="109.19"/>
    <n v="109.19"/>
    <n v="23.52"/>
    <s v="Second Class"/>
    <s v="Digital Wallet"/>
  </r>
  <r>
    <s v="ORD-1015"/>
    <d v="2024-04-29T00:00:00"/>
    <s v="2024-05-06"/>
    <s v="Ishaan Verma"/>
    <s v="Home Office"/>
    <s v="West"/>
    <x v="2"/>
    <s v="Florida"/>
    <s v="Miami"/>
    <x v="1"/>
    <x v="1"/>
    <s v="Side Table"/>
    <n v="2"/>
    <n v="2"/>
    <n v="50.84"/>
    <x v="3"/>
    <n v="86.43"/>
    <n v="86.43"/>
    <n v="-1.47"/>
    <s v="Standard Class"/>
    <s v="Card"/>
  </r>
  <r>
    <s v="ORD-1016"/>
    <d v="2023-12-14T00:00:00"/>
    <s v="2023-12-17"/>
    <s v="Riya Desai"/>
    <s v="Corporate"/>
    <s v="East"/>
    <x v="3"/>
    <s v="California"/>
    <s v="Los Angeles"/>
    <x v="2"/>
    <x v="5"/>
    <s v="A4 Paper"/>
    <n v="4"/>
    <n v="4"/>
    <n v="92.07"/>
    <x v="3"/>
    <n v="313.04000000000002"/>
    <n v="313.04000000000002"/>
    <n v="-36.159999999999997"/>
    <s v="Same Day"/>
    <s v="Card"/>
  </r>
  <r>
    <s v="ORD-1017"/>
    <d v="2024-10-29T00:00:00"/>
    <s v="2024-11-06"/>
    <s v="Ishaan Verma"/>
    <s v="Consumer"/>
    <s v="South"/>
    <x v="0"/>
    <s v="Illinois"/>
    <s v="Chicago"/>
    <x v="1"/>
    <x v="2"/>
    <s v="Ergo Chair"/>
    <n v="2"/>
    <n v="2"/>
    <n v="417.45"/>
    <x v="0"/>
    <n v="793.15"/>
    <n v="793.15"/>
    <n v="-82.09"/>
    <s v="Second Class"/>
    <s v="Digital Wallet"/>
  </r>
  <r>
    <s v="ORD-1018"/>
    <d v="2024-02-04T00:00:00"/>
    <s v="2024-02-13"/>
    <s v="Ishaan Verma"/>
    <s v="Consumer"/>
    <s v="East"/>
    <x v="3"/>
    <s v="Texas"/>
    <s v="Dallas"/>
    <x v="1"/>
    <x v="2"/>
    <s v="Office Chair"/>
    <n v="5"/>
    <n v="5"/>
    <n v="194.97"/>
    <x v="1"/>
    <n v="682.39"/>
    <n v="682.39"/>
    <n v="189.63"/>
    <s v="Second Class"/>
    <s v="Card"/>
  </r>
  <r>
    <s v="ORD-1019"/>
    <d v="2024-07-09T00:00:00"/>
    <s v="2024-07-18"/>
    <s v="Kabir Joshi"/>
    <s v="Consumer"/>
    <s v="West"/>
    <x v="2"/>
    <s v="California"/>
    <s v="San Francisco"/>
    <x v="0"/>
    <x v="3"/>
    <s v="Desk Phone"/>
    <m/>
    <s v=""/>
    <n v="33.270000000000003"/>
    <x v="5"/>
    <n v="159.69999999999999"/>
    <n v="159.69999999999999"/>
    <n v="6.28"/>
    <s v="Standard Class"/>
    <s v="Card"/>
  </r>
  <r>
    <s v="ORD-1020"/>
    <d v="2023-08-29T00:00:00"/>
    <s v="2023-09-05"/>
    <s v="Dev Mehta"/>
    <s v="Corporate"/>
    <s v="East"/>
    <x v="3"/>
    <s v="Florida"/>
    <s v="Miami"/>
    <x v="0"/>
    <x v="0"/>
    <s v="Webcam"/>
    <n v="4"/>
    <n v="4"/>
    <n v="263.88"/>
    <x v="4"/>
    <n v="1055.52"/>
    <n v="1055.52"/>
    <n v="110.74"/>
    <s v="First Class"/>
    <s v="Cash"/>
  </r>
  <r>
    <s v="ORD-1021"/>
    <d v="2024-02-10T00:00:00"/>
    <s v="2024-02-12"/>
    <s v="Meera Patel"/>
    <s v="Home Office"/>
    <s v="East"/>
    <x v="3"/>
    <s v="New York"/>
    <s v="Albany"/>
    <x v="2"/>
    <x v="4"/>
    <s v="File Binder"/>
    <n v="5"/>
    <n v="5"/>
    <n v="210.09"/>
    <x v="4"/>
    <n v="1050.45"/>
    <n v="1050.45"/>
    <n v="-184.58"/>
    <s v="First Class"/>
    <s v="Cash"/>
  </r>
  <r>
    <s v="ORD-1022"/>
    <d v="2023-03-12T00:00:00"/>
    <s v="2023-03-21"/>
    <s v="Aarav Shah"/>
    <s v="Home Office"/>
    <s v="Central"/>
    <x v="1"/>
    <s v="New York"/>
    <s v="Buffalo"/>
    <x v="2"/>
    <x v="4"/>
    <s v="File Binder"/>
    <n v="5"/>
    <n v="5"/>
    <n v="77.72"/>
    <x v="5"/>
    <n v="310.88"/>
    <n v="310.88"/>
    <n v="44.65"/>
    <s v="Standard Class"/>
    <s v="Cash"/>
  </r>
  <r>
    <s v="ORD-1023"/>
    <d v="2023-04-29T00:00:00"/>
    <s v="2023-05-05"/>
    <s v="Sara Khan"/>
    <s v="Home Office"/>
    <m/>
    <x v="4"/>
    <s v="California"/>
    <s v="San Francisco"/>
    <x v="2"/>
    <x v="4"/>
    <s v="File Binder"/>
    <n v="3"/>
    <n v="3"/>
    <n v="128.38"/>
    <x v="5"/>
    <n v="308.11"/>
    <n v="308.11"/>
    <n v="-25.61"/>
    <s v="Same Day"/>
    <s v="Bank Transfer"/>
  </r>
  <r>
    <s v="ORD-1024"/>
    <d v="2023-04-05T00:00:00"/>
    <s v="2023-04-10"/>
    <s v="Kabir Joshi"/>
    <s v="Home Office"/>
    <s v="South"/>
    <x v="0"/>
    <s v="Washington"/>
    <s v="Spokane"/>
    <x v="1"/>
    <x v="2"/>
    <s v="Visitor Chair"/>
    <n v="5"/>
    <n v="5"/>
    <n v="27.49"/>
    <x v="2"/>
    <n v="123.7"/>
    <n v="123.7"/>
    <n v="21.61"/>
    <s v="Same Day"/>
    <s v="Card"/>
  </r>
  <r>
    <s v="ORD-1025"/>
    <d v="2023-03-19T00:00:00"/>
    <s v="2023-03-26"/>
    <s v="Kabir Joshi"/>
    <s v="Consumer"/>
    <s v="Central"/>
    <x v="1"/>
    <s v="Washington"/>
    <s v="Seattle"/>
    <x v="1"/>
    <x v="2"/>
    <s v="Office Chair"/>
    <n v="1"/>
    <n v="1"/>
    <n v="376.89"/>
    <x v="5"/>
    <n v="301.51"/>
    <n v="301.51"/>
    <n v="22.36"/>
    <s v="Standard Class"/>
    <s v="Bank Transfer"/>
  </r>
  <r>
    <s v="ORD-1026"/>
    <d v="2024-11-29T00:00:00"/>
    <s v="2024-12-06"/>
    <s v="Kabir Joshi"/>
    <s v="Consumer"/>
    <s v="East"/>
    <x v="3"/>
    <s v="New York"/>
    <s v="Albany"/>
    <x v="1"/>
    <x v="1"/>
    <s v="Office Table"/>
    <n v="2"/>
    <n v="2"/>
    <n v="164.33"/>
    <x v="5"/>
    <n v="262.93"/>
    <n v="262.93"/>
    <n v="59.61"/>
    <s v="Same Day"/>
    <s v="Card"/>
  </r>
  <r>
    <s v="ORD-1027"/>
    <d v="2023-12-07T00:00:00"/>
    <s v="2023-12-08"/>
    <s v="Ishaan Verma"/>
    <s v="Consumer"/>
    <s v="East"/>
    <x v="3"/>
    <s v="Florida"/>
    <s v="Tampa"/>
    <x v="1"/>
    <x v="1"/>
    <s v="Conference Table"/>
    <n v="4"/>
    <n v="4"/>
    <n v="125.93"/>
    <x v="1"/>
    <n v="352.6"/>
    <n v="352.6"/>
    <n v="-45.94"/>
    <s v="First Class"/>
    <s v="Bank Transfer"/>
  </r>
  <r>
    <s v="ORD-1028"/>
    <d v="2023-08-17T00:00:00"/>
    <s v="2023-08-22"/>
    <s v="Dev Mehta"/>
    <s v="Home Office"/>
    <s v="South"/>
    <x v="0"/>
    <s v="California"/>
    <s v="San Francisco"/>
    <x v="1"/>
    <x v="1"/>
    <s v="Side Table"/>
    <n v="4"/>
    <n v="4"/>
    <n v="184.12"/>
    <x v="2"/>
    <n v="662.83"/>
    <n v="662.83"/>
    <n v="144.22999999999999"/>
    <s v="First Class"/>
    <s v="Card"/>
  </r>
  <r>
    <s v="ORD-1029"/>
    <d v="2023-09-25T00:00:00"/>
    <s v="2023-10-01"/>
    <s v="Anaya Rao"/>
    <s v="Home Office"/>
    <s v="West"/>
    <x v="2"/>
    <s v="New York"/>
    <s v="Albany"/>
    <x v="1"/>
    <x v="2"/>
    <s v="Office Chair"/>
    <n v="5"/>
    <n v="5"/>
    <n v="24.91"/>
    <x v="5"/>
    <n v="99.64"/>
    <n v="99.64"/>
    <n v="1.98"/>
    <s v="Second Class"/>
    <s v="Bank Transfer"/>
  </r>
  <r>
    <s v="ORD-1030"/>
    <d v="2024-12-26T00:00:00"/>
    <s v="2025-01-01"/>
    <s v="Dev Mehta"/>
    <s v="Home Office"/>
    <s v="West"/>
    <x v="2"/>
    <s v="Florida"/>
    <s v="Miami"/>
    <x v="1"/>
    <x v="2"/>
    <s v="Visitor Chair"/>
    <n v="4"/>
    <n v="4"/>
    <m/>
    <x v="4"/>
    <n v="675.96"/>
    <n v="675.96"/>
    <n v="173.37"/>
    <s v="First Class"/>
    <s v="Bank Transfer"/>
  </r>
  <r>
    <s v="ORD-1031"/>
    <d v="2024-02-23T00:00:00"/>
    <s v="2024-03-01"/>
    <s v="Kabir Joshi"/>
    <s v="Home Office"/>
    <s v="Central"/>
    <x v="1"/>
    <s v="Texas"/>
    <s v="Dallas"/>
    <x v="0"/>
    <x v="0"/>
    <s v="Mouse"/>
    <n v="5"/>
    <n v="5"/>
    <n v="253.05"/>
    <x v="0"/>
    <n v="1201.99"/>
    <n v="1201.99"/>
    <n v="16.11"/>
    <s v="Standard Class"/>
    <s v="Bank Transfer"/>
  </r>
  <r>
    <s v="ORD-1032"/>
    <d v="2023-08-04T00:00:00"/>
    <s v="2023-08-13"/>
    <s v="Ishaan Verma"/>
    <s v="Home Office"/>
    <s v="East"/>
    <x v="3"/>
    <s v="Florida"/>
    <s v="Tampa"/>
    <x v="2"/>
    <x v="4"/>
    <s v="File Binder"/>
    <n v="6"/>
    <n v="6"/>
    <n v="213.52"/>
    <x v="3"/>
    <n v="1088.95"/>
    <n v="1088.95"/>
    <n v="142.41999999999999"/>
    <s v="Standard Class"/>
    <s v="Bank Transfer"/>
  </r>
  <r>
    <s v="ORD-1033"/>
    <d v="2024-11-10T00:00:00"/>
    <s v="2024-11-14"/>
    <s v="Sara Khan"/>
    <s v="Consumer"/>
    <s v="West"/>
    <x v="2"/>
    <s v="Washington"/>
    <s v="Tacoma"/>
    <x v="0"/>
    <x v="3"/>
    <s v="Desk Phone"/>
    <n v="6"/>
    <n v="6"/>
    <n v="49.28"/>
    <x v="0"/>
    <n v="280.89999999999998"/>
    <n v="280.89999999999998"/>
    <n v="36.369999999999997"/>
    <s v="Second Class"/>
    <s v="Digital Wallet"/>
  </r>
  <r>
    <s v="ORD-1034"/>
    <d v="2023-03-16T00:00:00"/>
    <s v="2023-03-20"/>
    <s v="Kabir Joshi"/>
    <s v="Home Office"/>
    <s v="West"/>
    <x v="2"/>
    <s v="Florida"/>
    <s v="Orlando"/>
    <x v="0"/>
    <x v="3"/>
    <s v="Desk Phone"/>
    <n v="4"/>
    <n v="4"/>
    <n v="325.51"/>
    <x v="3"/>
    <n v="1106.73"/>
    <n v="1106.73"/>
    <n v="52.47"/>
    <s v="Same Day"/>
    <s v="Cash"/>
  </r>
  <r>
    <s v="ORD-1035"/>
    <d v="2024-12-13T00:00:00"/>
    <s v="2024-12-21"/>
    <s v="Dev Mehta"/>
    <s v="Corporate"/>
    <s v="South"/>
    <x v="0"/>
    <s v="Illinois"/>
    <s v="Springfield"/>
    <x v="1"/>
    <x v="1"/>
    <s v="Side Table"/>
    <n v="1"/>
    <n v="1"/>
    <n v="254.37"/>
    <x v="4"/>
    <n v="254.37"/>
    <n v="254.37"/>
    <n v="7.62"/>
    <s v="Same Day"/>
    <s v="Cash"/>
  </r>
  <r>
    <s v="ORD-1036"/>
    <d v="2024-05-01T00:00:00"/>
    <s v="2024-05-10"/>
    <s v="Ishaan Verma"/>
    <s v="Home Office"/>
    <s v="East"/>
    <x v="3"/>
    <s v="Florida"/>
    <s v="Orlando"/>
    <x v="0"/>
    <x v="0"/>
    <s v="Mouse"/>
    <n v="4"/>
    <n v="4"/>
    <n v="379.22"/>
    <x v="2"/>
    <n v="1365.19"/>
    <n v="1365.19"/>
    <n v="235.19"/>
    <s v="Same Day"/>
    <s v="Card"/>
  </r>
  <r>
    <s v="ORD-1037"/>
    <d v="2023-10-20T00:00:00"/>
    <s v="2023-10-23"/>
    <s v="Sara Khan"/>
    <s v="Corporate"/>
    <s v="East"/>
    <x v="3"/>
    <s v="New York"/>
    <s v="Buffalo"/>
    <x v="0"/>
    <x v="0"/>
    <s v="Webcam"/>
    <n v="6"/>
    <n v="6"/>
    <n v="149.31"/>
    <x v="5"/>
    <n v="716.69"/>
    <n v="716.69"/>
    <n v="-102.44"/>
    <s v="Second Class"/>
    <s v="Card"/>
  </r>
  <r>
    <s v="ORD-1038"/>
    <d v="2024-02-22T00:00:00"/>
    <s v="2024-02-29"/>
    <s v="Aarav Shah"/>
    <s v="Home Office"/>
    <s v="South"/>
    <x v="0"/>
    <s v="Texas"/>
    <s v="Austin"/>
    <x v="2"/>
    <x v="5"/>
    <s v="Notebook Paper"/>
    <n v="8"/>
    <n v="8"/>
    <n v="191.77"/>
    <x v="0"/>
    <n v="1457.45"/>
    <n v="1457.45"/>
    <n v="296.05"/>
    <s v="Standard Class"/>
    <s v="Bank Transfer"/>
  </r>
  <r>
    <s v="ORD-1039"/>
    <d v="2024-02-04T00:00:00"/>
    <s v="2024-02-05"/>
    <s v="Anaya Rao"/>
    <s v="Corporate"/>
    <s v="South"/>
    <x v="0"/>
    <s v="Florida"/>
    <s v="Tampa"/>
    <x v="2"/>
    <x v="4"/>
    <s v="File Binder"/>
    <n v="4"/>
    <n v="4"/>
    <n v="223.8"/>
    <x v="2"/>
    <n v="805.68"/>
    <n v="805.68"/>
    <n v="16.5"/>
    <s v="Second Class"/>
    <s v="Digital Wallet"/>
  </r>
  <r>
    <s v="ORD-1040"/>
    <d v="2024-09-29T00:00:00"/>
    <s v="2024-10-06"/>
    <s v="Kabir Joshi"/>
    <s v="Corporate"/>
    <s v="East"/>
    <x v="3"/>
    <s v="Illinois"/>
    <s v="Chicago"/>
    <x v="1"/>
    <x v="1"/>
    <s v="Office Table"/>
    <n v="7"/>
    <n v="7"/>
    <n v="269.62"/>
    <x v="1"/>
    <n v="1321.14"/>
    <n v="1321.14"/>
    <n v="-221.33"/>
    <s v="First Class"/>
    <s v="Digital Wallet"/>
  </r>
  <r>
    <s v="ORD-1041"/>
    <d v="2023-08-05T00:00:00"/>
    <s v="2023-08-12"/>
    <s v="Riya Desai"/>
    <s v="Consumer"/>
    <s v="South"/>
    <x v="0"/>
    <s v="Florida"/>
    <s v="Orlando"/>
    <x v="2"/>
    <x v="4"/>
    <s v="Ring Binder"/>
    <n v="6"/>
    <n v="6"/>
    <n v="344.46"/>
    <x v="3"/>
    <n v="1756.75"/>
    <n v="1756.75"/>
    <n v="-91.35"/>
    <s v="Standard Class"/>
    <s v="Bank Transfer"/>
  </r>
  <r>
    <s v="ORD-1042"/>
    <d v="2024-10-27T00:00:00"/>
    <m/>
    <s v="Kabir Joshi"/>
    <s v="Consumer"/>
    <s v="East"/>
    <x v="3"/>
    <s v="California"/>
    <s v="San Francisco"/>
    <x v="1"/>
    <x v="1"/>
    <s v="Conference Table"/>
    <n v="1"/>
    <n v="1"/>
    <n v="341.37"/>
    <x v="0"/>
    <n v="324.3"/>
    <n v="324.3"/>
    <n v="-28.63"/>
    <s v="Standard Class"/>
    <s v="Cash"/>
  </r>
  <r>
    <s v="ORD-1043"/>
    <d v="2024-12-17T00:00:00"/>
    <s v="2024-12-20"/>
    <s v="Riya Desai"/>
    <s v="Consumer"/>
    <s v="West"/>
    <x v="2"/>
    <s v="Texas"/>
    <s v="Dallas"/>
    <x v="2"/>
    <x v="5"/>
    <s v="Notebook Paper"/>
    <n v="3"/>
    <n v="3"/>
    <n v="275.8"/>
    <x v="1"/>
    <n v="579.17999999999995"/>
    <n v="579.17999999999995"/>
    <n v="87.13"/>
    <s v="Same Day"/>
    <s v="Digital Wallet"/>
  </r>
  <r>
    <s v="ORD-1044"/>
    <d v="2023-07-23T00:00:00"/>
    <s v="2023-07-25"/>
    <s v="Aarav Shah"/>
    <s v="Corporate"/>
    <s v="South"/>
    <x v="0"/>
    <s v="California"/>
    <s v="San Francisco"/>
    <x v="0"/>
    <x v="0"/>
    <s v="Webcam"/>
    <n v="4"/>
    <n v="4"/>
    <n v="53.04"/>
    <x v="2"/>
    <n v="190.94"/>
    <n v="190.94"/>
    <n v="40.31"/>
    <s v="First Class"/>
    <s v="Card"/>
  </r>
  <r>
    <s v="ORD-1045"/>
    <d v="2024-10-25T00:00:00"/>
    <s v="2024-10-31"/>
    <s v="Ishaan Verma"/>
    <s v="Home Office"/>
    <s v="East"/>
    <x v="3"/>
    <s v="Texas"/>
    <s v="Houston"/>
    <x v="0"/>
    <x v="3"/>
    <s v="Smartphone"/>
    <n v="7"/>
    <n v="7"/>
    <n v="371.47"/>
    <x v="4"/>
    <n v="2600.29"/>
    <n v="2600.29"/>
    <n v="50.5"/>
    <s v="Second Class"/>
    <s v="Bank Transfer"/>
  </r>
  <r>
    <s v="ORD-1046"/>
    <d v="2024-07-05T00:00:00"/>
    <s v="2024-07-09"/>
    <s v="Meera Patel"/>
    <s v="Corporate"/>
    <s v="South"/>
    <x v="0"/>
    <s v="Florida"/>
    <s v="Orlando"/>
    <x v="0"/>
    <x v="3"/>
    <s v="Desk Phone"/>
    <n v="7"/>
    <n v="7"/>
    <n v="372.97"/>
    <x v="5"/>
    <n v="2088.63"/>
    <n v="2088.63"/>
    <n v="-118.09"/>
    <s v="Same Day"/>
    <s v="Digital Wallet"/>
  </r>
  <r>
    <s v="ORD-1047"/>
    <d v="2023-01-30T00:00:00"/>
    <s v="2023-02-05"/>
    <s v="Riya Desai"/>
    <s v="Home Office"/>
    <s v="Central"/>
    <x v="1"/>
    <s v="Florida"/>
    <s v="Orlando"/>
    <x v="2"/>
    <x v="4"/>
    <s v="File Binder"/>
    <n v="3"/>
    <n v="3"/>
    <n v="223.5"/>
    <x v="2"/>
    <n v="603.45000000000005"/>
    <n v="603.45000000000005"/>
    <n v="112.85"/>
    <s v="Standard Class"/>
    <s v="Cash"/>
  </r>
  <r>
    <s v="ORD-1048"/>
    <d v="2023-09-05T00:00:00"/>
    <s v="2023-09-13"/>
    <s v="Ishaan Verma"/>
    <s v="Consumer"/>
    <s v="West"/>
    <x v="2"/>
    <s v="Washington"/>
    <s v="Spokane"/>
    <x v="1"/>
    <x v="2"/>
    <s v="Office Chair"/>
    <n v="8"/>
    <n v="8"/>
    <n v="253.39"/>
    <x v="0"/>
    <n v="1925.76"/>
    <n v="1925.76"/>
    <n v="265.14"/>
    <s v="Second Class"/>
    <s v="Digital Wallet"/>
  </r>
  <r>
    <s v="ORD-1049"/>
    <d v="2023-09-07T00:00:00"/>
    <s v="2023-09-16"/>
    <s v="Dev Mehta"/>
    <s v="Corporate"/>
    <s v="South"/>
    <x v="0"/>
    <s v="Texas"/>
    <s v="Austin"/>
    <x v="0"/>
    <x v="0"/>
    <s v="Mouse"/>
    <n v="6"/>
    <n v="6"/>
    <n v="217.18"/>
    <x v="5"/>
    <n v="1042.46"/>
    <n v="1042.46"/>
    <n v="-22.8"/>
    <s v="First Class"/>
    <s v="Bank Transfer"/>
  </r>
  <r>
    <s v="ORD-1050"/>
    <d v="2023-05-04T00:00:00"/>
    <s v="2023-05-07"/>
    <s v="Sara Khan"/>
    <s v="Consumer"/>
    <s v="South"/>
    <x v="0"/>
    <s v="Washington"/>
    <s v="Seattle"/>
    <x v="1"/>
    <x v="1"/>
    <s v="Conference Table"/>
    <n v="6"/>
    <n v="6"/>
    <n v="60.84"/>
    <x v="5"/>
    <n v="292.02999999999997"/>
    <n v="292.02999999999997"/>
    <n v="75.17"/>
    <s v="First Class"/>
    <s v="Card"/>
  </r>
  <r>
    <s v="ORD-1051"/>
    <d v="2023-10-31T00:00:00"/>
    <s v="2023-11-05"/>
    <s v="Aarav Shah"/>
    <s v="Consumer"/>
    <s v="Central"/>
    <x v="1"/>
    <s v="New York"/>
    <s v="Buffalo"/>
    <x v="1"/>
    <x v="1"/>
    <s v="Side Table"/>
    <n v="3"/>
    <n v="3"/>
    <n v="141.6"/>
    <x v="1"/>
    <n v="297.36"/>
    <n v="297.36"/>
    <n v="19.54"/>
    <s v="Second Class"/>
    <s v="Digital Wallet"/>
  </r>
  <r>
    <s v="ORD-1052"/>
    <d v="2023-01-13T00:00:00"/>
    <s v="2023-01-14"/>
    <s v="Riya Desai"/>
    <s v="Corporate"/>
    <s v="West"/>
    <x v="2"/>
    <s v="Illinois"/>
    <s v="Springfield"/>
    <x v="1"/>
    <x v="2"/>
    <s v="Ergo Chair"/>
    <n v="8"/>
    <n v="8"/>
    <n v="219.59"/>
    <x v="2"/>
    <n v="1581.05"/>
    <n v="1581.05"/>
    <n v="-150.5"/>
    <s v="Same Day"/>
    <s v="Digital Wallet"/>
  </r>
  <r>
    <s v="ORD-1053"/>
    <d v="2024-08-13T00:00:00"/>
    <s v="2024-08-15"/>
    <s v="Sara Khan"/>
    <s v="Consumer"/>
    <s v="South"/>
    <x v="0"/>
    <s v="Washington"/>
    <s v="Tacoma"/>
    <x v="1"/>
    <x v="2"/>
    <s v="Visitor Chair"/>
    <n v="1"/>
    <n v="1"/>
    <n v="75.06"/>
    <x v="5"/>
    <n v="60.05"/>
    <n v="60.05"/>
    <n v="15.41"/>
    <s v="Second Class"/>
    <s v="Digital Wallet"/>
  </r>
  <r>
    <s v="ORD-1054"/>
    <d v="2024-03-29T00:00:00"/>
    <s v="2024-03-31"/>
    <s v="Sara Khan"/>
    <s v="Home Office"/>
    <s v="East"/>
    <x v="3"/>
    <s v="Texas"/>
    <s v="Austin"/>
    <x v="2"/>
    <x v="5"/>
    <s v="Notebook Paper"/>
    <n v="7"/>
    <n v="7"/>
    <n v="142.97999999999999"/>
    <x v="5"/>
    <n v="800.69"/>
    <n v="800.69"/>
    <n v="-121.94"/>
    <s v="Standard Class"/>
    <s v="Cash"/>
  </r>
  <r>
    <s v="ORD-1055"/>
    <d v="2023-06-27T00:00:00"/>
    <s v="2023-07-05"/>
    <s v="Riya Desai"/>
    <s v="Consumer"/>
    <s v="East"/>
    <x v="3"/>
    <s v="Illinois"/>
    <s v="Chicago"/>
    <x v="1"/>
    <x v="1"/>
    <s v="Conference Table"/>
    <n v="3"/>
    <n v="3"/>
    <n v="9.18"/>
    <x v="3"/>
    <n v="23.41"/>
    <n v="23.41"/>
    <n v="3.21"/>
    <s v="First Class"/>
    <s v="Digital Wallet"/>
  </r>
  <r>
    <s v="ORD-1056"/>
    <d v="2024-12-04T00:00:00"/>
    <s v="2024-12-07"/>
    <s v="Riya Desai"/>
    <s v="Consumer"/>
    <s v="West"/>
    <x v="2"/>
    <s v="New York"/>
    <s v="Buffalo"/>
    <x v="1"/>
    <x v="2"/>
    <s v="Ergo Chair"/>
    <n v="4"/>
    <n v="4"/>
    <n v="195.91"/>
    <x v="5"/>
    <n v="626.91"/>
    <n v="626.91"/>
    <n v="-48.01"/>
    <s v="Second Class"/>
    <s v="Bank Transfer"/>
  </r>
  <r>
    <s v="ORD-1057"/>
    <d v="2024-08-05T00:00:00"/>
    <s v="2024-08-10"/>
    <s v="Ishaan Verma"/>
    <s v="Corporate"/>
    <s v="West"/>
    <x v="2"/>
    <s v="Texas"/>
    <s v="Dallas"/>
    <x v="0"/>
    <x v="3"/>
    <s v="Wireless Phone"/>
    <n v="2"/>
    <n v="2"/>
    <n v="215.16"/>
    <x v="2"/>
    <n v="387.29"/>
    <n v="387.29"/>
    <n v="54.95"/>
    <s v="Standard Class"/>
    <s v="Digital Wallet"/>
  </r>
  <r>
    <s v="ORD-1058"/>
    <d v="2023-11-27T00:00:00"/>
    <s v="2023-11-28"/>
    <s v="Riya Desai"/>
    <s v="Home Office"/>
    <s v="West"/>
    <x v="2"/>
    <s v="Illinois"/>
    <s v="Springfield"/>
    <x v="0"/>
    <x v="0"/>
    <s v="Keyboard"/>
    <n v="1"/>
    <n v="1"/>
    <n v="48.37"/>
    <x v="1"/>
    <n v="33.86"/>
    <n v="33.86"/>
    <n v="6.93"/>
    <s v="Standard Class"/>
    <s v="Digital Wallet"/>
  </r>
  <r>
    <s v="ORD-1059"/>
    <d v="2023-07-05T00:00:00"/>
    <s v="2023-07-11"/>
    <s v="Dev Mehta"/>
    <s v="Home Office"/>
    <s v="West"/>
    <x v="2"/>
    <s v="Illinois"/>
    <s v="Springfield"/>
    <x v="2"/>
    <x v="4"/>
    <s v="Ring Binder"/>
    <n v="8"/>
    <n v="8"/>
    <n v="436.32"/>
    <x v="3"/>
    <n v="2966.98"/>
    <n v="2966.98"/>
    <n v="-59.16"/>
    <s v="First Class"/>
    <s v="Digital Wallet"/>
  </r>
  <r>
    <s v="ORD-1060"/>
    <d v="2024-05-22T00:00:00"/>
    <s v="2024-05-24"/>
    <s v="Dev Mehta"/>
    <s v="Corporate"/>
    <s v="Central"/>
    <x v="1"/>
    <s v="Texas"/>
    <s v="Austin"/>
    <x v="0"/>
    <x v="0"/>
    <s v="Keyboard"/>
    <n v="7"/>
    <n v="7"/>
    <n v="367.6"/>
    <x v="5"/>
    <n v="2058.56"/>
    <n v="2058.56"/>
    <n v="-335.79"/>
    <s v="Same Day"/>
    <s v="Card"/>
  </r>
  <r>
    <s v="ORD-1061"/>
    <d v="2024-07-09T00:00:00"/>
    <s v="2024-07-17"/>
    <s v="Ishaan Verma"/>
    <s v="Consumer"/>
    <s v="East"/>
    <x v="3"/>
    <s v="Florida"/>
    <s v="Orlando"/>
    <x v="0"/>
    <x v="0"/>
    <s v="Mouse"/>
    <n v="1"/>
    <n v="1"/>
    <n v="90.91"/>
    <x v="2"/>
    <n v="81.819999999999993"/>
    <n v="81.819999999999993"/>
    <n v="8.7100000000000009"/>
    <s v="Second Class"/>
    <s v="Bank Transfer"/>
  </r>
  <r>
    <s v="ORD-1062"/>
    <d v="2024-12-16T00:00:00"/>
    <s v="2024-12-19"/>
    <s v="Riya Desai"/>
    <s v="Home Office"/>
    <s v="West"/>
    <x v="2"/>
    <s v="Florida"/>
    <s v="Miami"/>
    <x v="2"/>
    <x v="5"/>
    <s v="Copy Paper"/>
    <n v="1"/>
    <n v="1"/>
    <n v="438.13"/>
    <x v="5"/>
    <n v="350.5"/>
    <n v="350.5"/>
    <n v="65.78"/>
    <s v="Same Day"/>
    <s v="Card"/>
  </r>
  <r>
    <s v="ORD-1063"/>
    <d v="2023-04-27T00:00:00"/>
    <s v="2023-05-02"/>
    <s v="Anaya Rao"/>
    <s v="Corporate"/>
    <s v="South"/>
    <x v="0"/>
    <s v="Florida"/>
    <s v="Miami"/>
    <x v="1"/>
    <x v="1"/>
    <s v="Office Table"/>
    <n v="3"/>
    <n v="3"/>
    <n v="228.28"/>
    <x v="1"/>
    <n v="479.39"/>
    <n v="479.39"/>
    <n v="-21.93"/>
    <s v="Same Day"/>
    <s v="Cash"/>
  </r>
  <r>
    <s v="ORD-1064"/>
    <d v="2023-07-15T00:00:00"/>
    <s v="2023-07-22"/>
    <s v="Dev Mehta"/>
    <s v="Home Office"/>
    <s v="Central"/>
    <x v="1"/>
    <s v="Illinois"/>
    <s v="Peoria"/>
    <x v="2"/>
    <x v="5"/>
    <s v="A4 Paper"/>
    <n v="3"/>
    <n v="3"/>
    <n v="389.9"/>
    <x v="2"/>
    <n v="1052.73"/>
    <n v="1052.73"/>
    <n v="184.68"/>
    <s v="First Class"/>
    <s v="Bank Transfer"/>
  </r>
  <r>
    <s v="ORD-1065"/>
    <d v="2024-08-16T00:00:00"/>
    <s v="2024-08-25"/>
    <s v="Anaya Rao"/>
    <s v="Corporate"/>
    <s v="Central"/>
    <x v="1"/>
    <s v="Washington"/>
    <s v="Spokane"/>
    <x v="0"/>
    <x v="3"/>
    <s v="Desk Phone"/>
    <n v="3"/>
    <n v="3"/>
    <n v="205.37"/>
    <x v="3"/>
    <m/>
    <n v="523.69000000000005"/>
    <n v="-11.12"/>
    <s v="Second Class"/>
    <s v="Digital Wallet"/>
  </r>
  <r>
    <s v="ORD-1066"/>
    <d v="2024-02-25T00:00:00"/>
    <s v="2024-02-28"/>
    <s v="Ishaan Verma"/>
    <s v="Consumer"/>
    <s v="East"/>
    <x v="3"/>
    <s v="California"/>
    <s v="San Diego"/>
    <x v="1"/>
    <x v="1"/>
    <s v="Side Table"/>
    <n v="8"/>
    <n v="8"/>
    <n v="319.70999999999998"/>
    <x v="3"/>
    <n v="2174.0300000000002"/>
    <n v="2174.0300000000002"/>
    <n v="-5.23"/>
    <s v="First Class"/>
    <s v="Card"/>
  </r>
  <r>
    <s v="ORD-1067"/>
    <d v="2023-04-13T00:00:00"/>
    <s v="2023-04-16"/>
    <s v="Meera Patel"/>
    <s v="Corporate"/>
    <s v="Central"/>
    <x v="1"/>
    <s v="Illinois"/>
    <s v="Springfield"/>
    <x v="2"/>
    <x v="5"/>
    <s v="Notebook Paper"/>
    <n v="1"/>
    <n v="1"/>
    <n v="327.32"/>
    <x v="3"/>
    <n v="278.22000000000003"/>
    <n v="278.22000000000003"/>
    <n v="61.38"/>
    <s v="Same Day"/>
    <s v="Card"/>
  </r>
  <r>
    <s v="ORD-1068"/>
    <d v="2024-11-21T00:00:00"/>
    <s v="2024-11-22"/>
    <s v="Meera Patel"/>
    <s v="Consumer"/>
    <s v="Central"/>
    <x v="1"/>
    <s v="Illinois"/>
    <s v="Springfield"/>
    <x v="2"/>
    <x v="4"/>
    <s v="Ring Binder"/>
    <n v="6"/>
    <n v="6"/>
    <n v="285.05"/>
    <x v="3"/>
    <n v="1453.76"/>
    <n v="1453.76"/>
    <n v="321.70999999999998"/>
    <s v="Standard Class"/>
    <s v="Digital Wallet"/>
  </r>
  <r>
    <s v="ORD-1069"/>
    <d v="2024-10-10T00:00:00"/>
    <s v="2024-10-11"/>
    <s v="Dev Mehta"/>
    <s v="Consumer"/>
    <s v="Central"/>
    <x v="1"/>
    <s v="Washington"/>
    <s v="Seattle"/>
    <x v="1"/>
    <x v="2"/>
    <s v="Office Chair"/>
    <n v="8"/>
    <n v="8"/>
    <n v="81.53"/>
    <x v="2"/>
    <n v="587.02"/>
    <n v="587.02"/>
    <n v="138.29"/>
    <s v="First Class"/>
    <s v="Digital Wallet"/>
  </r>
  <r>
    <s v="ORD-1070"/>
    <d v="2023-09-08T00:00:00"/>
    <s v="2023-09-15"/>
    <s v="Sara Khan"/>
    <s v="Corporate"/>
    <s v="East"/>
    <x v="3"/>
    <s v="Illinois"/>
    <s v="Springfield"/>
    <x v="1"/>
    <x v="1"/>
    <s v="Office Table"/>
    <n v="3"/>
    <n v="3"/>
    <n v="83.13"/>
    <x v="4"/>
    <n v="249.39"/>
    <n v="249.39"/>
    <n v="25.03"/>
    <s v="Same Day"/>
    <s v="Bank Transfer"/>
  </r>
  <r>
    <s v="ORD-1071"/>
    <d v="2023-09-19T00:00:00"/>
    <s v="2023-09-21"/>
    <s v="Ishaan Verma"/>
    <s v="Corporate"/>
    <s v="Central"/>
    <x v="1"/>
    <s v="Washington"/>
    <s v="Seattle"/>
    <x v="2"/>
    <x v="5"/>
    <s v="Copy Paper"/>
    <n v="8"/>
    <n v="8"/>
    <n v="406.33"/>
    <x v="1"/>
    <n v="2275.4499999999998"/>
    <n v="2275.4499999999998"/>
    <n v="162.55000000000001"/>
    <s v="Same Day"/>
    <s v="Bank Transfer"/>
  </r>
  <r>
    <s v="ORD-1072"/>
    <d v="2023-11-06T00:00:00"/>
    <s v="2023-11-11"/>
    <s v="Riya Desai"/>
    <s v="Consumer"/>
    <s v="South"/>
    <x v="0"/>
    <s v="New York"/>
    <s v="Buffalo"/>
    <x v="2"/>
    <x v="5"/>
    <s v="Notebook Paper"/>
    <n v="8"/>
    <n v="8"/>
    <n v="55.14"/>
    <x v="3"/>
    <n v="374.95"/>
    <n v="374.95"/>
    <n v="31.15"/>
    <s v="Standard Class"/>
    <s v="Card"/>
  </r>
  <r>
    <s v="ORD-1073"/>
    <d v="2024-05-23T00:00:00"/>
    <s v="2024-05-26"/>
    <s v="Meera Patel"/>
    <s v="Home Office"/>
    <s v="West"/>
    <x v="2"/>
    <s v="Texas"/>
    <s v="Houston"/>
    <x v="0"/>
    <x v="3"/>
    <s v="Smartphone"/>
    <n v="6"/>
    <n v="6"/>
    <n v="104.8"/>
    <x v="0"/>
    <n v="597.36"/>
    <n v="597.36"/>
    <n v="63.09"/>
    <s v="Same Day"/>
    <s v="Card"/>
  </r>
  <r>
    <s v="ORD-1074"/>
    <d v="2024-01-09T00:00:00"/>
    <s v="2024-01-12"/>
    <s v="Sara Khan"/>
    <s v="Consumer"/>
    <s v="Central"/>
    <x v="1"/>
    <s v="Washington"/>
    <s v="Seattle"/>
    <x v="0"/>
    <x v="3"/>
    <s v="Wireless Phone"/>
    <n v="2"/>
    <n v="2"/>
    <n v="410.06"/>
    <x v="2"/>
    <n v="738.11"/>
    <n v="738.11"/>
    <n v="120.93"/>
    <s v="First Class"/>
    <s v="Cash"/>
  </r>
  <r>
    <s v="ORD-1075"/>
    <d v="2024-05-08T00:00:00"/>
    <s v="2024-05-11"/>
    <s v="Sara Khan"/>
    <s v="Home Office"/>
    <s v="South"/>
    <x v="0"/>
    <s v="Texas"/>
    <s v="Austin"/>
    <x v="2"/>
    <x v="4"/>
    <s v="File Binder"/>
    <n v="6"/>
    <n v="6"/>
    <n v="363.47"/>
    <x v="3"/>
    <n v="1853.7"/>
    <n v="1853.7"/>
    <n v="487.4"/>
    <s v="First Class"/>
    <s v="Card"/>
  </r>
  <r>
    <s v="ORD-1076"/>
    <d v="2023-01-15T00:00:00"/>
    <s v="2023-01-20"/>
    <s v="Anaya Rao"/>
    <s v="Home Office"/>
    <s v="Central"/>
    <x v="1"/>
    <s v="Texas"/>
    <s v="Austin"/>
    <x v="2"/>
    <x v="5"/>
    <s v="A4 Paper"/>
    <n v="2"/>
    <n v="2"/>
    <n v="209.02"/>
    <x v="2"/>
    <n v="292.63"/>
    <n v="292.63"/>
    <n v="48.15"/>
    <s v="Second Class"/>
    <s v="Digital Wallet"/>
  </r>
  <r>
    <s v="ORD-1077"/>
    <d v="2024-09-26T00:00:00"/>
    <s v="2024-10-01"/>
    <s v="Anaya Rao"/>
    <s v="Consumer"/>
    <s v="East"/>
    <x v="3"/>
    <s v="Illinois"/>
    <s v="Springfield"/>
    <x v="1"/>
    <x v="2"/>
    <s v="Ergo Chair"/>
    <n v="4"/>
    <n v="4"/>
    <n v="294.26"/>
    <x v="1"/>
    <n v="823.93"/>
    <n v="823.93"/>
    <n v="163.94"/>
    <s v="Standard Class"/>
    <s v="Bank Transfer"/>
  </r>
  <r>
    <s v="ORD-1078"/>
    <d v="2023-04-29T00:00:00"/>
    <s v="2023-05-08"/>
    <s v="Anaya Rao"/>
    <s v="Home Office"/>
    <s v="East"/>
    <x v="3"/>
    <s v="California"/>
    <s v="Los Angeles"/>
    <x v="2"/>
    <x v="5"/>
    <s v="Notebook Paper"/>
    <n v="3"/>
    <n v="3"/>
    <n v="179.78"/>
    <x v="2"/>
    <n v="485.41"/>
    <n v="485.41"/>
    <n v="62.34"/>
    <s v="Standard Class"/>
    <s v="Digital Wallet"/>
  </r>
  <r>
    <s v="ORD-1079"/>
    <d v="2024-02-22T00:00:00"/>
    <s v="2024-02-28"/>
    <s v="Meera Patel"/>
    <s v="Home Office"/>
    <s v="Central"/>
    <x v="1"/>
    <s v="Texas"/>
    <s v="Houston"/>
    <x v="0"/>
    <x v="3"/>
    <s v="Wireless Phone"/>
    <n v="6"/>
    <n v="6"/>
    <n v="104.03"/>
    <x v="3"/>
    <n v="530.54999999999995"/>
    <n v="530.54999999999995"/>
    <n v="136.49"/>
    <s v="First Class"/>
    <s v="Card"/>
  </r>
  <r>
    <s v="ORD-1080"/>
    <d v="2023-10-10T00:00:00"/>
    <s v="2023-10-11"/>
    <s v="Aarav Shah"/>
    <s v="Corporate"/>
    <s v="East"/>
    <x v="3"/>
    <s v="New York"/>
    <s v="New York City"/>
    <x v="2"/>
    <x v="5"/>
    <s v="A4 Paper"/>
    <n v="8"/>
    <n v="8"/>
    <n v="48.52"/>
    <x v="0"/>
    <n v="368.75"/>
    <n v="368.75"/>
    <n v="42.47"/>
    <s v="Second Class"/>
    <s v="Card"/>
  </r>
  <r>
    <s v="ORD-1081"/>
    <d v="2023-08-01T00:00:00"/>
    <s v="2023-08-02"/>
    <s v="Riya Desai"/>
    <s v="Consumer"/>
    <s v="East"/>
    <x v="3"/>
    <s v="Illinois"/>
    <s v="Chicago"/>
    <x v="0"/>
    <x v="3"/>
    <s v="Wireless Phone"/>
    <n v="4"/>
    <n v="4"/>
    <n v="153.22"/>
    <x v="0"/>
    <n v="582.24"/>
    <n v="582.24"/>
    <n v="106.42"/>
    <s v="First Class"/>
    <s v="Cash"/>
  </r>
  <r>
    <s v="ORD-1082"/>
    <d v="2024-11-07T00:00:00"/>
    <s v="2024-11-08"/>
    <s v="Kabir Joshi"/>
    <s v="Corporate"/>
    <s v="West"/>
    <x v="2"/>
    <s v="California"/>
    <s v="Los Angeles"/>
    <x v="1"/>
    <x v="2"/>
    <s v="Ergo Chair"/>
    <n v="1"/>
    <n v="1"/>
    <n v="166.34"/>
    <x v="0"/>
    <n v="158.02000000000001"/>
    <n v="158.02000000000001"/>
    <n v="14.36"/>
    <s v="Same Day"/>
    <s v="Card"/>
  </r>
  <r>
    <s v="ORD-1083"/>
    <d v="2023-03-07T00:00:00"/>
    <s v="2023-03-11"/>
    <s v="Aarav Shah"/>
    <s v="Home Office"/>
    <s v="Central"/>
    <x v="1"/>
    <s v="Florida"/>
    <s v="Orlando"/>
    <x v="0"/>
    <x v="0"/>
    <s v="Mouse"/>
    <n v="6"/>
    <n v="6"/>
    <n v="234.85"/>
    <x v="4"/>
    <n v="1409.1"/>
    <n v="1409.1"/>
    <n v="39.35"/>
    <s v="Standard Class"/>
    <s v="Card"/>
  </r>
  <r>
    <s v="ORD-1084"/>
    <d v="2024-02-16T00:00:00"/>
    <s v="2024-02-18"/>
    <s v="Dev Mehta"/>
    <s v="Home Office"/>
    <s v="East"/>
    <x v="3"/>
    <s v="Florida"/>
    <s v="Tampa"/>
    <x v="2"/>
    <x v="5"/>
    <s v="A4 Paper"/>
    <n v="2"/>
    <n v="2"/>
    <n v="224.7"/>
    <x v="3"/>
    <n v="381.99"/>
    <n v="381.99"/>
    <n v="-55.84"/>
    <s v="Second Class"/>
    <s v="Bank Transfer"/>
  </r>
  <r>
    <s v="ORD-1085"/>
    <d v="2024-10-10T00:00:00"/>
    <s v="2024-10-18"/>
    <s v="Anaya Rao"/>
    <s v="Consumer"/>
    <s v="West"/>
    <x v="2"/>
    <s v="Illinois"/>
    <s v="Peoria"/>
    <x v="0"/>
    <x v="3"/>
    <s v="Wireless Phone"/>
    <n v="6"/>
    <n v="6"/>
    <n v="176.36"/>
    <x v="5"/>
    <n v="846.53"/>
    <n v="846.53"/>
    <n v="54.23"/>
    <s v="Second Class"/>
    <s v="Digital Wallet"/>
  </r>
  <r>
    <s v="ORD-1086"/>
    <d v="2023-08-22T00:00:00"/>
    <s v="2023-08-29"/>
    <s v="Dev Mehta"/>
    <s v="Home Office"/>
    <s v="Central"/>
    <x v="1"/>
    <s v="Florida"/>
    <s v="Orlando"/>
    <x v="2"/>
    <x v="5"/>
    <s v="Notebook Paper"/>
    <n v="8"/>
    <n v="8"/>
    <n v="184.24"/>
    <x v="1"/>
    <n v="1031.74"/>
    <n v="1031.74"/>
    <n v="-140.59"/>
    <s v="Second Class"/>
    <s v="Digital Wallet"/>
  </r>
  <r>
    <s v="ORD-1087"/>
    <d v="2023-04-04T00:00:00"/>
    <s v="2023-04-07"/>
    <s v="Aarav Shah"/>
    <s v="Home Office"/>
    <s v="Central"/>
    <x v="1"/>
    <s v="California"/>
    <s v="Los Angeles"/>
    <x v="1"/>
    <x v="2"/>
    <s v="Visitor Chair"/>
    <n v="7"/>
    <n v="7"/>
    <n v="50.68"/>
    <x v="1"/>
    <n v="248.33"/>
    <n v="248.33"/>
    <n v="-2.13"/>
    <s v="Standard Class"/>
    <s v="Digital Wallet"/>
  </r>
  <r>
    <s v="ORD-1088"/>
    <d v="2024-11-12T00:00:00"/>
    <s v="2024-11-14"/>
    <s v="Sara Khan"/>
    <s v="Consumer"/>
    <s v="South"/>
    <x v="0"/>
    <s v="Florida"/>
    <s v="Tampa"/>
    <x v="2"/>
    <x v="4"/>
    <s v="Ring Binder"/>
    <n v="1"/>
    <n v="1"/>
    <n v="436.03"/>
    <x v="5"/>
    <n v="348.82"/>
    <n v="348.82"/>
    <n v="-12.65"/>
    <s v="Standard Class"/>
    <s v="Bank Transfer"/>
  </r>
  <r>
    <s v="ORD-1089"/>
    <d v="2024-01-12T00:00:00"/>
    <s v="2024-01-21"/>
    <s v="Aarav Shah"/>
    <s v="Home Office"/>
    <s v="Central"/>
    <x v="1"/>
    <s v="California"/>
    <s v="San Diego"/>
    <x v="0"/>
    <x v="3"/>
    <m/>
    <n v="4"/>
    <n v="4"/>
    <n v="364.79"/>
    <x v="5"/>
    <n v="1167.33"/>
    <n v="1167.33"/>
    <n v="313.18"/>
    <s v="Second Class"/>
    <s v="Bank Transfer"/>
  </r>
  <r>
    <s v="ORD-1090"/>
    <d v="2023-11-13T00:00:00"/>
    <s v="2023-11-20"/>
    <s v="Meera Patel"/>
    <s v="Consumer"/>
    <s v="West"/>
    <x v="2"/>
    <s v="Texas"/>
    <s v="Dallas"/>
    <x v="0"/>
    <x v="0"/>
    <s v="Keyboard"/>
    <n v="1"/>
    <n v="1"/>
    <n v="88.18"/>
    <x v="0"/>
    <n v="83.77"/>
    <n v="83.77"/>
    <n v="6.74"/>
    <s v="Second Class"/>
    <s v="Digital Wallet"/>
  </r>
  <r>
    <s v="ORD-1091"/>
    <d v="2024-04-09T00:00:00"/>
    <s v="2024-04-11"/>
    <s v="Aarav Shah"/>
    <s v="Consumer"/>
    <s v="East"/>
    <x v="3"/>
    <s v="Texas"/>
    <s v="Houston"/>
    <x v="2"/>
    <x v="5"/>
    <s v="Copy Paper"/>
    <n v="6"/>
    <n v="6"/>
    <n v="145.74"/>
    <x v="2"/>
    <n v="787"/>
    <n v="787"/>
    <n v="139.57"/>
    <s v="Standard Class"/>
    <s v="Card"/>
  </r>
  <r>
    <s v="ORD-1092"/>
    <d v="2024-03-29T00:00:00"/>
    <s v="2024-04-07"/>
    <s v="Meera Patel"/>
    <s v="Consumer "/>
    <s v="South"/>
    <x v="0"/>
    <s v="Washington"/>
    <s v="Spokane"/>
    <x v="2"/>
    <x v="4"/>
    <s v="Ring Binder"/>
    <n v="8"/>
    <n v="8"/>
    <n v="276.33"/>
    <x v="3"/>
    <n v="1879.04"/>
    <n v="1879.04"/>
    <n v="-102.11"/>
    <s v="First Class"/>
    <s v="Digital Wallet"/>
  </r>
  <r>
    <s v="ORD-1093"/>
    <d v="2024-11-14T00:00:00"/>
    <s v="2024-11-18"/>
    <s v="Riya Desai"/>
    <s v="Consumer"/>
    <s v="East"/>
    <x v="3"/>
    <s v="Texas"/>
    <s v="Houston"/>
    <x v="0"/>
    <x v="3"/>
    <s v="Smartphone"/>
    <n v="4"/>
    <n v="4"/>
    <n v="182.71"/>
    <x v="5"/>
    <n v="584.66999999999996"/>
    <n v="584.66999999999996"/>
    <n v="-90.51"/>
    <s v="First Class"/>
    <s v="Bank Transfer"/>
  </r>
  <r>
    <s v="ORD-1094"/>
    <d v="2023-01-08T00:00:00"/>
    <s v="2023-01-12"/>
    <s v="Dev Mehta"/>
    <s v="Consumer"/>
    <s v="South"/>
    <x v="0"/>
    <s v="Florida"/>
    <s v="Tampa"/>
    <x v="1"/>
    <x v="2"/>
    <s v="Visitor Chair"/>
    <n v="7"/>
    <n v="7"/>
    <n v="85.66"/>
    <x v="3"/>
    <n v="509.68"/>
    <n v="509.68"/>
    <n v="33.119999999999997"/>
    <s v="Standard Class"/>
    <s v="Digital Wallet"/>
  </r>
  <r>
    <s v="ORD-1095"/>
    <d v="2024-04-15T00:00:00"/>
    <s v="2024-04-20"/>
    <s v="Meera Patel"/>
    <s v="Corporate"/>
    <s v="West"/>
    <x v="2"/>
    <s v="California"/>
    <s v="San Diego"/>
    <x v="1"/>
    <x v="2"/>
    <s v="Office Chair"/>
    <n v="7"/>
    <n v="7"/>
    <n v="261.44"/>
    <x v="1"/>
    <n v="1281.06"/>
    <n v="1281.06"/>
    <n v="146.63999999999999"/>
    <s v="Second Class"/>
    <s v="Digital Wallet"/>
  </r>
  <r>
    <s v="ORD-1096"/>
    <d v="2024-01-06T00:00:00"/>
    <s v="2024-01-08"/>
    <s v="Anaya Rao"/>
    <s v="Corporate"/>
    <s v="Central"/>
    <x v="1"/>
    <s v="California"/>
    <s v="San Diego"/>
    <x v="0"/>
    <x v="0"/>
    <s v="Keyboard"/>
    <n v="2"/>
    <n v="2"/>
    <n v="115.55"/>
    <x v="5"/>
    <n v="184.88"/>
    <n v="184.88"/>
    <n v="0.78"/>
    <s v="First Class"/>
    <s v="Cash"/>
  </r>
  <r>
    <s v="ORD-1097"/>
    <d v="2024-06-06T00:00:00"/>
    <s v="2024-06-09"/>
    <s v="Sara Khan"/>
    <s v="Consumer"/>
    <s v="East"/>
    <x v="3"/>
    <s v="Washington"/>
    <s v="Seattle"/>
    <x v="1"/>
    <x v="2"/>
    <s v="Office Chair"/>
    <n v="4"/>
    <n v="4"/>
    <n v="408.42"/>
    <x v="2"/>
    <n v="1470.31"/>
    <n v="1470.31"/>
    <n v="-27.19"/>
    <s v="Second Class"/>
    <s v="Cash"/>
  </r>
  <r>
    <s v="ORD-1098"/>
    <d v="2023-06-06T00:00:00"/>
    <s v="2023-06-14"/>
    <s v="Dev Mehta"/>
    <s v="Home Office"/>
    <s v="Central"/>
    <x v="1"/>
    <s v="Washington"/>
    <s v="Seattle"/>
    <x v="0"/>
    <x v="3"/>
    <s v="Desk Phone"/>
    <n v="3"/>
    <n v="3"/>
    <n v="428.47"/>
    <x v="1"/>
    <n v="899.79"/>
    <n v="899.79"/>
    <n v="42.55"/>
    <s v="Same Day"/>
    <s v="Card"/>
  </r>
  <r>
    <s v="ORD-1099"/>
    <d v="2024-03-28T00:00:00"/>
    <s v="2024-04-02"/>
    <s v="Ishaan Verma"/>
    <s v="Corporate"/>
    <s v="West"/>
    <x v="2"/>
    <s v="Washington"/>
    <s v="Spokane"/>
    <x v="2"/>
    <x v="5"/>
    <s v="A4 Paper"/>
    <n v="5"/>
    <n v="5"/>
    <n v="269.41000000000003"/>
    <x v="2"/>
    <n v="1212.3499999999999"/>
    <n v="1212.3499999999999"/>
    <n v="64.709999999999994"/>
    <s v="First Class"/>
    <s v="Bank Transfer"/>
  </r>
  <r>
    <s v="ORD-1100"/>
    <d v="2024-10-22T00:00:00"/>
    <s v="2024-10-23"/>
    <s v="Ishaan Verma"/>
    <s v="Home Office"/>
    <s v="East"/>
    <x v="3"/>
    <s v="California"/>
    <s v="San Francisco"/>
    <x v="1"/>
    <x v="2"/>
    <s v="Office Chair"/>
    <n v="7"/>
    <n v="7"/>
    <n v="212.52"/>
    <x v="5"/>
    <n v="1190.1099999999999"/>
    <n v="1190.1099999999999"/>
    <n v="308.17"/>
    <s v="Same Day"/>
    <s v="Cash"/>
  </r>
  <r>
    <s v="ORD-1101"/>
    <d v="2024-04-06T00:00:00"/>
    <s v="2024-04-14"/>
    <s v="Ishaan Verma"/>
    <s v="Home Office"/>
    <s v="East"/>
    <x v="3"/>
    <s v="California"/>
    <s v="San Diego"/>
    <x v="1"/>
    <x v="2"/>
    <s v="Office Chair"/>
    <n v="2"/>
    <n v="2"/>
    <n v="231.01"/>
    <x v="0"/>
    <n v="438.92"/>
    <n v="438.92"/>
    <n v="-71.099999999999994"/>
    <s v="First Class"/>
    <s v="Bank Transfer"/>
  </r>
  <r>
    <s v="ORD-1102"/>
    <d v="2024-02-23T00:00:00"/>
    <s v="2024-02-29"/>
    <s v="Meera Patel"/>
    <s v="Home Office"/>
    <s v="South"/>
    <x v="0"/>
    <s v="Texas"/>
    <s v="Austin"/>
    <x v="2"/>
    <x v="5"/>
    <s v="Notebook Paper"/>
    <n v="1"/>
    <n v="1"/>
    <n v="356.84"/>
    <x v="1"/>
    <n v="249.79"/>
    <n v="249.79"/>
    <n v="-6.51"/>
    <s v="First Class"/>
    <s v="Cash"/>
  </r>
  <r>
    <s v="ORD-1103"/>
    <d v="2023-03-25T00:00:00"/>
    <s v="2023-04-01"/>
    <s v="Kabir Joshi"/>
    <s v="Home Office"/>
    <s v="West"/>
    <x v="2"/>
    <s v="Illinois"/>
    <s v="Peoria"/>
    <x v="2"/>
    <x v="4"/>
    <s v="Presentation Binder"/>
    <n v="3"/>
    <n v="3"/>
    <n v="413.2"/>
    <x v="2"/>
    <n v="1115.6400000000001"/>
    <n v="1115.6400000000001"/>
    <n v="295.8"/>
    <s v="Same Day"/>
    <s v="Bank Transfer"/>
  </r>
  <r>
    <s v="ORD-1104"/>
    <d v="2024-11-17T00:00:00"/>
    <s v="2024-11-18"/>
    <s v="Dev Mehta"/>
    <s v="Corporate"/>
    <s v="East"/>
    <x v="3"/>
    <s v="Washington"/>
    <s v="Tacoma"/>
    <x v="1"/>
    <x v="1"/>
    <s v="Office Table"/>
    <n v="2"/>
    <n v="2"/>
    <n v="293.54000000000002"/>
    <x v="3"/>
    <n v="499.02"/>
    <n v="499.02"/>
    <n v="26.9"/>
    <s v="First Class"/>
    <s v="Digital Wallet"/>
  </r>
  <r>
    <s v="ORD-1105"/>
    <m/>
    <s v="2023-08-29"/>
    <s v="Aarav Shah"/>
    <s v="Home Office"/>
    <s v="Central"/>
    <x v="1"/>
    <s v="New York"/>
    <s v="New York City"/>
    <x v="1"/>
    <x v="1"/>
    <s v="Side Table"/>
    <n v="2"/>
    <n v="2"/>
    <n v="138.74"/>
    <x v="4"/>
    <n v="277.48"/>
    <n v="277.48"/>
    <n v="14.86"/>
    <s v="Second Class"/>
    <s v="Digital Wallet"/>
  </r>
  <r>
    <s v="ORD-1106"/>
    <d v="2023-06-16T00:00:00"/>
    <s v="2023-06-20"/>
    <s v="Ishaan Verma"/>
    <s v="Home Office"/>
    <s v="Central"/>
    <x v="1"/>
    <s v="New York"/>
    <s v="Albany"/>
    <x v="1"/>
    <x v="1"/>
    <s v="Side Table"/>
    <n v="3"/>
    <n v="3"/>
    <n v="326.76"/>
    <x v="4"/>
    <n v="980.28"/>
    <n v="980.28"/>
    <n v="8.82"/>
    <s v="Same Day"/>
    <s v="Cash"/>
  </r>
  <r>
    <s v="ORD-1107"/>
    <d v="2023-09-02T00:00:00"/>
    <s v="2023-09-10"/>
    <s v="Riya Desai"/>
    <s v="Corporate"/>
    <s v="South"/>
    <x v="0"/>
    <s v="Texas"/>
    <s v="Dallas"/>
    <x v="0"/>
    <x v="3"/>
    <s v="Desk Phone"/>
    <n v="4"/>
    <n v="4"/>
    <n v="170.59"/>
    <x v="5"/>
    <n v="545.89"/>
    <n v="545.89"/>
    <n v="148.94"/>
    <s v="Second Class"/>
    <s v="Cash"/>
  </r>
  <r>
    <s v="ORD-1108"/>
    <d v="2023-02-23T00:00:00"/>
    <s v="2023-03-04"/>
    <s v="Meera Patel"/>
    <s v="Corporate"/>
    <s v="West"/>
    <x v="2"/>
    <s v="Washington"/>
    <s v="Spokane"/>
    <x v="2"/>
    <x v="4"/>
    <s v="Ring Binder"/>
    <n v="6"/>
    <n v="6"/>
    <n v="253.11"/>
    <x v="4"/>
    <n v="1518.66"/>
    <n v="1518.66"/>
    <n v="223.61"/>
    <s v="First Class"/>
    <s v="Digital Wallet"/>
  </r>
  <r>
    <s v="ORD-1109"/>
    <d v="2023-05-31T00:00:00"/>
    <s v="2023-06-07"/>
    <s v="Aarav Shah"/>
    <s v="Corporate"/>
    <s v="Central"/>
    <x v="1"/>
    <s v="Florida"/>
    <s v="Miami"/>
    <x v="0"/>
    <x v="3"/>
    <s v="Desk Phone"/>
    <n v="4"/>
    <n v="4"/>
    <n v="368.98"/>
    <x v="2"/>
    <n v="1328.33"/>
    <n v="1328.33"/>
    <n v="329.45"/>
    <s v="Same Day"/>
    <s v="Card"/>
  </r>
  <r>
    <s v="ORD-1110"/>
    <d v="2023-08-18T00:00:00"/>
    <s v="2023-08-21"/>
    <s v="Kabir Joshi"/>
    <s v="Consumer"/>
    <s v="Central"/>
    <x v="1"/>
    <s v="California"/>
    <s v="San Diego"/>
    <x v="2"/>
    <x v="4"/>
    <s v="Presentation Binder"/>
    <n v="2"/>
    <n v="2"/>
    <n v="378.92"/>
    <x v="1"/>
    <n v="530.49"/>
    <n v="530.49"/>
    <n v="-13.67"/>
    <s v="Second Class"/>
    <s v="Digital Wallet"/>
  </r>
  <r>
    <s v="ORD-1111"/>
    <d v="2024-09-22T00:00:00"/>
    <s v="2024-10-01"/>
    <s v="Anaya Rao"/>
    <s v="Consumer"/>
    <s v="Central"/>
    <x v="1"/>
    <s v="California"/>
    <s v="Los Angeles"/>
    <x v="2"/>
    <x v="5"/>
    <s v="A4 Paper"/>
    <n v="1"/>
    <n v="1"/>
    <n v="121.12"/>
    <x v="0"/>
    <n v="115.06"/>
    <n v="115.06"/>
    <n v="8.34"/>
    <s v="First Class"/>
    <s v="Card"/>
  </r>
  <r>
    <s v="ORD-1112"/>
    <d v="2023-09-02T00:00:00"/>
    <s v="2023-09-03"/>
    <s v="Sara Khan"/>
    <s v="Home Office"/>
    <s v="East"/>
    <x v="3"/>
    <s v="Florida"/>
    <s v="Tampa"/>
    <x v="1"/>
    <x v="2"/>
    <s v="Office Chair"/>
    <n v="8"/>
    <n v="8"/>
    <n v="35.76"/>
    <x v="3"/>
    <n v="243.17"/>
    <n v="243.17"/>
    <n v="22.98"/>
    <s v="Same Day"/>
    <s v="Card"/>
  </r>
  <r>
    <s v="ORD-1113"/>
    <d v="2023-12-28T00:00:00"/>
    <s v="2024-01-03"/>
    <s v="Meera Patel"/>
    <s v="Home Office"/>
    <s v="West"/>
    <x v="2"/>
    <s v="New York"/>
    <s v="Albany"/>
    <x v="0"/>
    <x v="3"/>
    <s v="Smartphone"/>
    <n v="7"/>
    <n v="7"/>
    <n v="90.79"/>
    <x v="1"/>
    <n v="444.87"/>
    <n v="444.87"/>
    <n v="-62.56"/>
    <s v="Same Day"/>
    <s v="Card"/>
  </r>
  <r>
    <s v="ORD-1114"/>
    <d v="2024-02-01T00:00:00"/>
    <s v="2024-02-03"/>
    <s v="Dev Mehta"/>
    <s v="Consumer"/>
    <s v="West"/>
    <x v="2"/>
    <s v="Texas"/>
    <s v="Dallas"/>
    <x v="0"/>
    <x v="0"/>
    <s v="Mouse"/>
    <n v="1"/>
    <n v="1"/>
    <n v="165.84"/>
    <x v="4"/>
    <n v="165.84"/>
    <n v="165.84"/>
    <n v="-3.55"/>
    <s v="First Class"/>
    <s v="Cash"/>
  </r>
  <r>
    <s v="ORD-1115"/>
    <d v="2024-04-20T00:00:00"/>
    <s v="2024-04-28"/>
    <s v="Aarav Shah"/>
    <s v="Corporate"/>
    <s v="East"/>
    <x v="3"/>
    <s v="Washington"/>
    <s v="Spokane"/>
    <x v="0"/>
    <x v="0"/>
    <s v="Keyboard"/>
    <n v="3"/>
    <n v="3"/>
    <n v="366.68"/>
    <x v="4"/>
    <n v="1100.04"/>
    <n v="1100.04"/>
    <n v="164.32"/>
    <s v="Second Class"/>
    <s v="Card"/>
  </r>
  <r>
    <s v="ORD-1116"/>
    <d v="2023-11-14T00:00:00"/>
    <s v="2023-11-20"/>
    <s v="Aarav Shah"/>
    <s v="Home Office"/>
    <s v="Central"/>
    <x v="1"/>
    <s v="Illinois"/>
    <s v="Springfield"/>
    <x v="2"/>
    <x v="4"/>
    <s v="Presentation Binder"/>
    <n v="8"/>
    <n v="8"/>
    <n v="119.96"/>
    <x v="1"/>
    <n v="671.78"/>
    <n v="671.78"/>
    <n v="-61.87"/>
    <s v="Standard Class"/>
    <s v="Bank Transfer"/>
  </r>
  <r>
    <s v="ORD-1117"/>
    <d v="2024-02-14T00:00:00"/>
    <s v="2024-02-22"/>
    <s v="Dev Mehta"/>
    <s v="Home Office"/>
    <s v="Central"/>
    <x v="1"/>
    <s v="Washington"/>
    <s v="Spokane"/>
    <x v="2"/>
    <x v="5"/>
    <s v="A4 Paper"/>
    <n v="7"/>
    <n v="7"/>
    <n v="157.85"/>
    <x v="0"/>
    <n v="1049.7"/>
    <n v="1049.7"/>
    <n v="50.65"/>
    <s v="Same Day"/>
    <s v="Card"/>
  </r>
  <r>
    <s v="ORD-1118"/>
    <d v="2024-09-08T00:00:00"/>
    <s v="2024-09-13"/>
    <s v="Riya Desai"/>
    <s v="Corporate"/>
    <s v="South"/>
    <x v="0"/>
    <s v="New York"/>
    <s v="Albany"/>
    <x v="2"/>
    <x v="5"/>
    <s v="A4 Paper"/>
    <n v="5"/>
    <n v="5"/>
    <n v="149.97999999999999"/>
    <x v="4"/>
    <n v="749.9"/>
    <n v="749.9"/>
    <n v="-21.86"/>
    <s v="Same Day"/>
    <s v="Bank Transfer"/>
  </r>
  <r>
    <s v="ORD-1119"/>
    <d v="2023-02-13T00:00:00"/>
    <s v="2023-02-20"/>
    <s v="Dev Mehta"/>
    <s v="Home Office"/>
    <s v="East"/>
    <x v="3"/>
    <s v="Washington"/>
    <s v="Spokane"/>
    <x v="2"/>
    <x v="5"/>
    <s v="A4 Paper"/>
    <n v="7"/>
    <n v="7"/>
    <n v="129.35"/>
    <x v="4"/>
    <n v="905.45"/>
    <n v="905.45"/>
    <n v="-131.72999999999999"/>
    <s v="Second Class"/>
    <s v="Digital Wallet"/>
  </r>
  <r>
    <s v="ORD-1120"/>
    <d v="2023-05-10T00:00:00"/>
    <s v="2023-05-13"/>
    <s v="Ishaan Verma"/>
    <s v="Corporate"/>
    <s v="Central"/>
    <x v="1"/>
    <s v="California"/>
    <s v="Los Angeles"/>
    <x v="1"/>
    <x v="2"/>
    <s v="Office Chair"/>
    <n v="6"/>
    <n v="6"/>
    <n v="168.07"/>
    <x v="6"/>
    <n v="806.74"/>
    <n v="806.74"/>
    <n v="-133.19"/>
    <s v="Standard Class"/>
    <s v="Cash"/>
  </r>
  <r>
    <s v="ORD-1121"/>
    <d v="2024-01-11T00:00:00"/>
    <s v="2024-01-14"/>
    <s v="Ishaan Verma"/>
    <s v="Home Office"/>
    <s v="South"/>
    <x v="0"/>
    <s v="Florida"/>
    <s v="Orlando"/>
    <x v="0"/>
    <x v="3"/>
    <s v="Wireless Phone"/>
    <n v="5"/>
    <n v="5"/>
    <n v="118.33"/>
    <x v="4"/>
    <n v="591.65"/>
    <n v="591.65"/>
    <n v="-99.44"/>
    <s v="Standard Class"/>
    <s v="Bank Transfer"/>
  </r>
  <r>
    <s v="ORD-1122"/>
    <d v="2024-12-21T00:00:00"/>
    <s v="2024-12-24"/>
    <s v="Meera Patel"/>
    <s v="Corporate"/>
    <s v="East"/>
    <x v="3"/>
    <s v="Florida"/>
    <s v="Miami"/>
    <x v="2"/>
    <x v="4"/>
    <s v="File Binder"/>
    <n v="5"/>
    <n v="5"/>
    <n v="314.74"/>
    <x v="3"/>
    <n v="1337.64"/>
    <n v="1337.64"/>
    <n v="-117.6"/>
    <s v="Same Day"/>
    <s v="Card"/>
  </r>
  <r>
    <s v="ORD-1123"/>
    <d v="2023-11-24T00:00:00"/>
    <s v="2023-11-27"/>
    <s v="Kabir Joshi"/>
    <s v="Corporate"/>
    <s v="East"/>
    <x v="3"/>
    <s v="Washington"/>
    <s v="Spokane"/>
    <x v="0"/>
    <x v="0"/>
    <s v="Keyboard"/>
    <n v="2"/>
    <n v="2"/>
    <n v="251.1"/>
    <x v="2"/>
    <n v="451.98"/>
    <n v="451.98"/>
    <n v="103.96"/>
    <s v="Second Class"/>
    <s v="Cash"/>
  </r>
  <r>
    <s v="ORD-1124"/>
    <d v="2024-05-20T00:00:00"/>
    <s v="2024-05-22"/>
    <s v="Meera Patel"/>
    <s v="Corporate"/>
    <s v="South"/>
    <x v="0"/>
    <s v="California"/>
    <s v="San Diego"/>
    <x v="1"/>
    <x v="1"/>
    <s v="Side Table"/>
    <n v="6"/>
    <n v="6"/>
    <n v="214.59"/>
    <x v="5"/>
    <n v="1030.03"/>
    <n v="1030.03"/>
    <n v="-123.92"/>
    <s v="Same Day"/>
    <s v="Digital Wallet"/>
  </r>
  <r>
    <s v="ORD-1125"/>
    <d v="2024-08-11T00:00:00"/>
    <s v="2024-08-20"/>
    <s v="Dev Mehta"/>
    <s v="Consumer"/>
    <s v="East"/>
    <x v="3"/>
    <s v="California"/>
    <s v="Los Angeles"/>
    <x v="2"/>
    <x v="5"/>
    <s v="A4 Paper"/>
    <n v="6"/>
    <n v="6"/>
    <n v="291.91000000000003"/>
    <x v="3"/>
    <n v="1488.74"/>
    <n v="1488.74"/>
    <n v="51.04"/>
    <s v="Same Day"/>
    <s v="Card"/>
  </r>
  <r>
    <s v="ORD-1126"/>
    <d v="2024-06-14T00:00:00"/>
    <s v="2024-06-23"/>
    <s v="Riya Desai"/>
    <s v="Consumer"/>
    <s v="Central"/>
    <x v="1"/>
    <s v="New York"/>
    <s v="Buffalo"/>
    <x v="1"/>
    <x v="2"/>
    <s v="Ergo Chair"/>
    <n v="3"/>
    <n v="3"/>
    <n v="79.59"/>
    <x v="1"/>
    <n v="167.14"/>
    <n v="167.14"/>
    <n v="-12.75"/>
    <s v="First Class"/>
    <s v="Cash"/>
  </r>
  <r>
    <s v="ORD-1127"/>
    <d v="2023-11-07T00:00:00"/>
    <s v="2023-11-10"/>
    <s v="Kabir Joshi"/>
    <s v="Home Office"/>
    <s v="Central"/>
    <x v="1"/>
    <s v="Illinois"/>
    <s v="Peoria"/>
    <x v="0"/>
    <x v="0"/>
    <s v="Webcam"/>
    <n v="2"/>
    <n v="2"/>
    <n v="230.14"/>
    <x v="0"/>
    <n v="437.27"/>
    <n v="437.27"/>
    <n v="40.33"/>
    <s v="Standard Class"/>
    <s v="Card"/>
  </r>
  <r>
    <s v="ORD-1128"/>
    <d v="2023-02-16T00:00:00"/>
    <s v="2023-02-17"/>
    <s v="Ishaan Verma"/>
    <s v="Home Office"/>
    <s v="Central"/>
    <x v="1"/>
    <s v="Washington"/>
    <s v="Tacoma"/>
    <x v="1"/>
    <x v="2"/>
    <s v="Visitor Chair"/>
    <n v="5"/>
    <n v="5"/>
    <n v="295.8"/>
    <x v="5"/>
    <n v="1183.2"/>
    <n v="1183.2"/>
    <n v="13.76"/>
    <s v="First Class"/>
    <s v="Digital Wallet"/>
  </r>
  <r>
    <s v="ORD-1129"/>
    <d v="2024-12-02T00:00:00"/>
    <s v="2024-12-09"/>
    <s v="Ishaan Verma"/>
    <s v="Corporate"/>
    <s v="East"/>
    <x v="3"/>
    <s v="Florida"/>
    <s v="Orlando"/>
    <x v="1"/>
    <x v="1"/>
    <s v="Conference Table"/>
    <n v="8"/>
    <n v="8"/>
    <n v="40.25"/>
    <x v="4"/>
    <n v="322"/>
    <n v="322"/>
    <n v="-34.549999999999997"/>
    <s v="Second Class"/>
    <s v="Bank Transfer"/>
  </r>
  <r>
    <s v="ORD-1130"/>
    <d v="2023-11-23T00:00:00"/>
    <s v="2023-11-25"/>
    <s v="Dev Mehta"/>
    <s v="Consumer"/>
    <s v="South"/>
    <x v="0"/>
    <s v="Washington"/>
    <s v="Spokane"/>
    <x v="0"/>
    <x v="0"/>
    <s v="Keyboard"/>
    <n v="7"/>
    <n v="7"/>
    <n v="65.8"/>
    <x v="2"/>
    <n v="414.54"/>
    <n v="414.54"/>
    <n v="23.58"/>
    <s v="First Class"/>
    <s v="Digital Wallet"/>
  </r>
  <r>
    <s v="ORD-1131"/>
    <d v="2023-05-25T00:00:00"/>
    <s v="2023-05-28"/>
    <s v="Dev Mehta"/>
    <s v="Home Office"/>
    <s v="Central"/>
    <x v="1"/>
    <s v="California"/>
    <s v="Los Angeles"/>
    <x v="1"/>
    <x v="1"/>
    <s v="Office Table"/>
    <n v="5"/>
    <n v="5"/>
    <n v="425.86"/>
    <x v="5"/>
    <n v="1703.44"/>
    <n v="1703.44"/>
    <n v="21.02"/>
    <s v="Second Class"/>
    <s v="Digital Wallet"/>
  </r>
  <r>
    <s v="ORD-1132"/>
    <d v="2024-04-23T00:00:00"/>
    <s v="2024-04-27"/>
    <s v="Sara Khan"/>
    <s v="Home Office"/>
    <s v="Central"/>
    <x v="1"/>
    <s v="Florida"/>
    <s v="Orlando"/>
    <x v="0"/>
    <x v="3"/>
    <s v="Desk Phone"/>
    <n v="8"/>
    <n v="8"/>
    <n v="18.239999999999998"/>
    <x v="3"/>
    <n v="124.03"/>
    <n v="124.03"/>
    <n v="6.51"/>
    <s v="Standard Class"/>
    <s v="Bank Transfer"/>
  </r>
  <r>
    <s v="ORD-1133"/>
    <d v="2024-09-03T00:00:00"/>
    <s v="2024-09-10"/>
    <s v="Kabir Joshi"/>
    <s v="Corporate"/>
    <s v="Central"/>
    <x v="1"/>
    <s v="Washington"/>
    <s v="Tacoma"/>
    <x v="2"/>
    <x v="5"/>
    <s v="Notebook Paper"/>
    <n v="8"/>
    <n v="8"/>
    <n v="134.30000000000001"/>
    <x v="4"/>
    <n v="1074.4000000000001"/>
    <n v="1074.4000000000001"/>
    <n v="225.3"/>
    <s v="First Class"/>
    <s v="Card"/>
  </r>
  <r>
    <s v="ORD-1134"/>
    <d v="2023-02-22T00:00:00"/>
    <s v="2023-03-03"/>
    <s v="Ishaan Verma"/>
    <s v="Home Office"/>
    <s v="Central"/>
    <x v="1"/>
    <s v="Illinois"/>
    <s v="Peoria"/>
    <x v="2"/>
    <x v="5"/>
    <s v="Copy Paper"/>
    <n v="4"/>
    <n v="4"/>
    <n v="168.24"/>
    <x v="2"/>
    <n v="605.66"/>
    <n v="605.66"/>
    <n v="-88.53"/>
    <s v="Standard Class"/>
    <s v="Digital Wallet"/>
  </r>
  <r>
    <s v="ORD-1135"/>
    <d v="2024-02-08T00:00:00"/>
    <s v="2024-02-15"/>
    <s v="Aarav Shah"/>
    <s v="Consumer"/>
    <s v="West"/>
    <x v="2"/>
    <s v="Texas"/>
    <s v="Dallas"/>
    <x v="1"/>
    <x v="2"/>
    <s v="Ergo Chair"/>
    <n v="6"/>
    <n v="6"/>
    <n v="341.69"/>
    <x v="0"/>
    <n v="1947.63"/>
    <n v="1947.63"/>
    <n v="189.18"/>
    <s v="First Class"/>
    <s v="Digital Wallet"/>
  </r>
  <r>
    <s v="ORD-1136"/>
    <d v="2024-04-12T00:00:00"/>
    <s v="2024-04-19"/>
    <s v="Riya Desai"/>
    <s v="Home Office"/>
    <s v="Central"/>
    <x v="1"/>
    <s v="New York"/>
    <s v="Albany"/>
    <x v="0"/>
    <x v="3"/>
    <s v="Wireless Phone"/>
    <n v="3"/>
    <n v="3"/>
    <n v="152.96"/>
    <x v="5"/>
    <n v="367.1"/>
    <n v="367.1"/>
    <n v="-12.29"/>
    <s v="Same Day"/>
    <s v="Bank Transfer"/>
  </r>
  <r>
    <s v="ORD-1137"/>
    <d v="2023-01-18T00:00:00"/>
    <s v="2023-01-19"/>
    <s v="Ishaan Verma"/>
    <s v="Corporate"/>
    <s v="East"/>
    <x v="3"/>
    <s v="Texas"/>
    <s v="Dallas"/>
    <x v="2"/>
    <x v="5"/>
    <s v="Copy Paper"/>
    <n v="2"/>
    <n v="2"/>
    <n v="441.11"/>
    <x v="5"/>
    <n v="705.78"/>
    <n v="705.78"/>
    <n v="-27.15"/>
    <s v="Standard Class"/>
    <s v="Digital Wallet"/>
  </r>
  <r>
    <s v="ORD-1138"/>
    <d v="2024-06-20T00:00:00"/>
    <s v="2024-06-22"/>
    <s v="Sara Khan"/>
    <s v="Consumer"/>
    <s v="South"/>
    <x v="0"/>
    <s v="Washington"/>
    <s v="Tacoma"/>
    <x v="1"/>
    <x v="1"/>
    <s v="Conference Table"/>
    <n v="7"/>
    <n v="7"/>
    <n v="73.319999999999993"/>
    <x v="1"/>
    <n v="359.27"/>
    <n v="359.27"/>
    <n v="-24.64"/>
    <s v="Same Day"/>
    <s v="Cash"/>
  </r>
  <r>
    <s v="ORD-1139"/>
    <d v="2024-12-08T00:00:00"/>
    <s v="2024-12-11"/>
    <s v="Sara Khan"/>
    <s v="Home Office"/>
    <s v="Central"/>
    <x v="1"/>
    <s v="New York"/>
    <s v="Buffalo"/>
    <x v="2"/>
    <x v="5"/>
    <s v="Copy Paper"/>
    <n v="8"/>
    <n v="8"/>
    <n v="393.79"/>
    <x v="1"/>
    <n v="2205.2199999999998"/>
    <n v="2205.2199999999998"/>
    <n v="340.94"/>
    <s v="Same Day"/>
    <s v="Digital Wallet"/>
  </r>
  <r>
    <s v="ORD-1140"/>
    <d v="2023-06-27T00:00:00"/>
    <s v="2023-07-02"/>
    <s v="Ishaan Verma"/>
    <s v="Consumer"/>
    <s v="East"/>
    <x v="3"/>
    <s v="Florida"/>
    <s v="Tampa"/>
    <x v="2"/>
    <x v="4"/>
    <s v="Presentation Binder"/>
    <n v="6"/>
    <n v="6"/>
    <n v="249.45"/>
    <x v="1"/>
    <n v="1047.69"/>
    <n v="1047.69"/>
    <n v="183.47"/>
    <s v="First Class"/>
    <s v="Cash"/>
  </r>
  <r>
    <s v="ORD-1141"/>
    <d v="2023-10-23T00:00:00"/>
    <s v="2023-10-28"/>
    <s v="Riya Desai"/>
    <s v="Consumer"/>
    <s v="South"/>
    <x v="0"/>
    <s v="Washington"/>
    <s v="Seattle"/>
    <x v="2"/>
    <x v="4"/>
    <s v="Presentation Binder"/>
    <n v="8"/>
    <n v="8"/>
    <n v="148.13"/>
    <x v="2"/>
    <n v="1066.54"/>
    <n v="1066.54"/>
    <n v="83"/>
    <s v="First Class"/>
    <s v="Cash"/>
  </r>
  <r>
    <s v="ORD-1142"/>
    <d v="2023-02-13T00:00:00"/>
    <s v="2023-02-21"/>
    <s v="Sara Khan"/>
    <s v="Consumer"/>
    <s v="Central"/>
    <x v="1"/>
    <s v="Texas"/>
    <s v="Austin"/>
    <x v="2"/>
    <x v="4"/>
    <s v="File Binder"/>
    <n v="2"/>
    <n v="2"/>
    <n v="161.09"/>
    <x v="3"/>
    <n v="273.85000000000002"/>
    <n v="273.85000000000002"/>
    <n v="33.340000000000003"/>
    <s v="First Class"/>
    <s v="Cash"/>
  </r>
  <r>
    <s v="ORD-1143"/>
    <d v="2024-09-22T00:00:00"/>
    <s v="2024-09-26"/>
    <s v="Sara Khan"/>
    <s v="Consumer"/>
    <s v="West"/>
    <x v="2"/>
    <s v="Washington"/>
    <s v="Tacoma"/>
    <x v="1"/>
    <x v="2"/>
    <s v="Office Chair"/>
    <n v="4"/>
    <n v="4"/>
    <n v="115.17"/>
    <x v="1"/>
    <n v="322.48"/>
    <n v="322.48"/>
    <n v="76.23"/>
    <s v="First Class"/>
    <s v="Digital Wallet"/>
  </r>
  <r>
    <s v="ORD-1144"/>
    <d v="2024-11-28T00:00:00"/>
    <s v="2024-12-02"/>
    <s v="Riya Desai"/>
    <s v="Corporate"/>
    <s v="Central"/>
    <x v="1"/>
    <s v="New York"/>
    <s v="New York City"/>
    <x v="1"/>
    <x v="2"/>
    <s v="Visitor Chair"/>
    <n v="3"/>
    <n v="3"/>
    <n v="187.85"/>
    <x v="3"/>
    <n v="479.02"/>
    <n v="479.02"/>
    <n v="18.98"/>
    <s v="Standard Class"/>
    <s v="Card"/>
  </r>
  <r>
    <s v="ORD-1145"/>
    <d v="2024-08-10T00:00:00"/>
    <s v="2024-08-13"/>
    <s v="Aarav Shah"/>
    <s v="Corporate"/>
    <s v="South"/>
    <x v="0"/>
    <s v="New York"/>
    <s v="Albany"/>
    <x v="0"/>
    <x v="0"/>
    <s v="Keyboard"/>
    <n v="1"/>
    <n v="1"/>
    <n v="411.65"/>
    <x v="0"/>
    <n v="391.07"/>
    <n v="391.07"/>
    <n v="4.78"/>
    <s v="First Class"/>
    <s v="Card"/>
  </r>
  <r>
    <s v="ORD-1146"/>
    <d v="2023-11-02T00:00:00"/>
    <s v="2023-11-11"/>
    <s v="Ishaan Verma"/>
    <s v="Consumer"/>
    <s v="South"/>
    <x v="0"/>
    <s v="Illinois"/>
    <s v="Peoria"/>
    <x v="1"/>
    <x v="2"/>
    <s v="Office Chair"/>
    <n v="2"/>
    <n v="2"/>
    <n v="418.38"/>
    <x v="2"/>
    <n v="753.08"/>
    <n v="753.08"/>
    <m/>
    <s v="Second Class"/>
    <s v="Card"/>
  </r>
  <r>
    <s v="ORD-1147"/>
    <d v="2023-06-16T00:00:00"/>
    <s v="2023-06-21"/>
    <s v="Sara Khan"/>
    <s v="Consumer"/>
    <s v="South"/>
    <x v="0"/>
    <s v="Washington"/>
    <s v="Spokane"/>
    <x v="2"/>
    <x v="4"/>
    <s v="Presentation Binder"/>
    <n v="5"/>
    <n v="5"/>
    <n v="325.62"/>
    <x v="4"/>
    <n v="1628.1"/>
    <n v="1628.1"/>
    <n v="258.61"/>
    <s v="First Class"/>
    <s v="Card"/>
  </r>
  <r>
    <s v="ORD-1148"/>
    <d v="2024-11-16T00:00:00"/>
    <s v="2024-11-23"/>
    <s v="Sara Khan"/>
    <s v="Corporate"/>
    <s v="Central"/>
    <x v="1"/>
    <s v="California"/>
    <s v="Los Angeles"/>
    <x v="2"/>
    <x v="5"/>
    <s v="Notebook Paper"/>
    <n v="3"/>
    <n v="3"/>
    <n v="219.03"/>
    <x v="0"/>
    <n v="624.24"/>
    <n v="624.24"/>
    <n v="-110.4"/>
    <s v="First Class"/>
    <s v="Card"/>
  </r>
  <r>
    <s v="ORD-1149"/>
    <d v="2024-10-31T00:00:00"/>
    <s v="2024-11-03"/>
    <s v="Anaya Rao"/>
    <s v="Home Office"/>
    <s v="Central"/>
    <x v="1"/>
    <s v="Texas"/>
    <s v="Austin"/>
    <x v="2"/>
    <x v="4"/>
    <s v="File Binder"/>
    <n v="4"/>
    <n v="4"/>
    <n v="35.46"/>
    <x v="4"/>
    <n v="141.84"/>
    <n v="141.84"/>
    <n v="4.83"/>
    <s v="Standard Class"/>
    <s v="Bank Transfer"/>
  </r>
  <r>
    <s v="ORD-1150"/>
    <d v="2024-09-21T00:00:00"/>
    <s v="2024-09-27"/>
    <s v="Anaya Rao"/>
    <s v="Home Office"/>
    <s v="South"/>
    <x v="0"/>
    <s v="New York"/>
    <s v="New York City"/>
    <x v="2"/>
    <x v="4"/>
    <s v="File Binder"/>
    <n v="3"/>
    <n v="3"/>
    <n v="219.36"/>
    <x v="3"/>
    <n v="559.37"/>
    <n v="559.37"/>
    <n v="91.71"/>
    <s v="Second Class"/>
    <s v="Cash"/>
  </r>
  <r>
    <s v="ORD-1151"/>
    <d v="2024-09-02T00:00:00"/>
    <s v="2024-09-04"/>
    <s v="Aarav Shah"/>
    <s v="Home Office"/>
    <s v="East"/>
    <x v="3"/>
    <s v="California"/>
    <s v="San Francisco"/>
    <x v="0"/>
    <x v="0"/>
    <s v="Webcam"/>
    <n v="8"/>
    <n v="8"/>
    <n v="241.45"/>
    <x v="2"/>
    <n v="1738.44"/>
    <n v="1738.44"/>
    <n v="-250.46"/>
    <s v="Second Class"/>
    <s v="Cash"/>
  </r>
  <r>
    <s v="ORD-1152"/>
    <d v="2024-06-16T00:00:00"/>
    <s v="2024-06-25"/>
    <s v="Ishaan Verma"/>
    <s v="Consumer"/>
    <s v="South"/>
    <x v="0"/>
    <s v="Florida"/>
    <s v="Miami"/>
    <x v="2"/>
    <x v="4"/>
    <s v="Ring Binder"/>
    <n v="4"/>
    <n v="4"/>
    <n v="324.88"/>
    <x v="3"/>
    <n v="1104.5899999999999"/>
    <n v="1104.5899999999999"/>
    <n v="-152.62"/>
    <s v="Same Day"/>
    <s v="Digital Wallet"/>
  </r>
  <r>
    <s v="ORD-1153"/>
    <d v="2023-03-01T00:00:00"/>
    <s v="2023-03-02"/>
    <s v="Sara Khan"/>
    <s v="Home Office"/>
    <s v="West"/>
    <x v="2"/>
    <s v="Illinois"/>
    <s v="Springfield"/>
    <x v="0"/>
    <x v="3"/>
    <s v="Desk Phone"/>
    <n v="5"/>
    <n v="5"/>
    <n v="327.69"/>
    <x v="3"/>
    <n v="1392.68"/>
    <n v="1392.68"/>
    <n v="-87.67"/>
    <s v="Same Day"/>
    <s v="Bank Transfer"/>
  </r>
  <r>
    <s v="ORD-1154"/>
    <d v="2023-03-07T00:00:00"/>
    <s v="2023-03-14"/>
    <s v="Kabir Joshi"/>
    <s v="Consumer"/>
    <s v="South"/>
    <x v="0"/>
    <s v="Illinois"/>
    <s v="Chicago"/>
    <x v="0"/>
    <x v="0"/>
    <s v="Mouse"/>
    <n v="2"/>
    <n v="2"/>
    <n v="443.87"/>
    <x v="3"/>
    <n v="754.58"/>
    <n v="754.58"/>
    <n v="-124.81"/>
    <s v="Same Day"/>
    <s v="Digital Wallet"/>
  </r>
  <r>
    <s v="ORD-1155"/>
    <d v="2024-01-20T00:00:00"/>
    <s v="2024-01-29"/>
    <s v="Anaya Rao"/>
    <s v="Home Office"/>
    <s v="East"/>
    <x v="3"/>
    <s v="California"/>
    <s v="San Francisco"/>
    <x v="2"/>
    <x v="5"/>
    <s v="Copy Paper"/>
    <n v="3"/>
    <n v="3"/>
    <n v="296.86"/>
    <x v="2"/>
    <n v="801.52"/>
    <n v="801.52"/>
    <n v="-100.53"/>
    <s v="Second Class"/>
    <s v="Card"/>
  </r>
  <r>
    <s v="ORD-1156"/>
    <d v="2023-11-02T00:00:00"/>
    <s v="2023-11-08"/>
    <s v="Kabir Joshi"/>
    <s v="Corporate"/>
    <s v="East"/>
    <x v="3"/>
    <s v="Florida"/>
    <s v="Tampa"/>
    <x v="1"/>
    <x v="2"/>
    <s v="Visitor Chair"/>
    <n v="7"/>
    <n v="7"/>
    <n v="243.11"/>
    <x v="0"/>
    <n v="1616.68"/>
    <n v="1616.68"/>
    <n v="-106.93"/>
    <s v="Standard Class"/>
    <s v="Card"/>
  </r>
  <r>
    <s v="ORD-1157"/>
    <d v="2024-03-05T00:00:00"/>
    <s v="2024-03-13"/>
    <s v="Aarav Shah"/>
    <s v="Consumer"/>
    <s v="West"/>
    <x v="2"/>
    <s v="Illinois"/>
    <s v="Chicago"/>
    <x v="0"/>
    <x v="0"/>
    <s v="Mouse"/>
    <n v="4"/>
    <n v="4"/>
    <n v="99.09"/>
    <x v="4"/>
    <n v="396.36"/>
    <n v="396.36"/>
    <n v="36.950000000000003"/>
    <s v="Same Day"/>
    <s v="Cash"/>
  </r>
  <r>
    <s v="ORD-1158"/>
    <d v="2023-08-11T00:00:00"/>
    <s v="2023-08-17"/>
    <s v="Sara Khan"/>
    <s v="Corporate"/>
    <s v="East"/>
    <x v="3"/>
    <s v="California"/>
    <s v="Los Angeles"/>
    <x v="0"/>
    <x v="3"/>
    <s v="Wireless Phone"/>
    <n v="5"/>
    <n v="5"/>
    <n v="111.5"/>
    <x v="1"/>
    <n v="390.25"/>
    <n v="390.25"/>
    <n v="33.18"/>
    <s v="Second Class"/>
    <s v="Digital Wallet"/>
  </r>
  <r>
    <s v="ORD-1159"/>
    <d v="2023-10-09T00:00:00"/>
    <s v="2023-10-10"/>
    <s v="Dev Mehta"/>
    <s v="Home Office"/>
    <s v="South"/>
    <x v="0"/>
    <s v="California"/>
    <s v="San Francisco"/>
    <x v="2"/>
    <x v="4"/>
    <s v="File Binder"/>
    <n v="3"/>
    <n v="3"/>
    <n v="284.69"/>
    <x v="3"/>
    <n v="725.96"/>
    <n v="725.96"/>
    <n v="54.95"/>
    <s v="First Class"/>
    <s v="Digital Wallet"/>
  </r>
  <r>
    <s v="ORD-1160"/>
    <d v="2023-06-02T00:00:00"/>
    <s v="2023-06-06"/>
    <s v="Riya Desai"/>
    <s v="Home Office"/>
    <s v="East"/>
    <x v="3"/>
    <s v="Texas"/>
    <s v="Dallas"/>
    <x v="2"/>
    <x v="5"/>
    <s v="Notebook Paper"/>
    <n v="3"/>
    <n v="3"/>
    <n v="341.45"/>
    <x v="3"/>
    <n v="870.7"/>
    <n v="870.7"/>
    <n v="-60.21"/>
    <s v="Standard Class"/>
    <s v="Digital Wallet"/>
  </r>
  <r>
    <s v="ORD-1161"/>
    <d v="2024-07-24T00:00:00"/>
    <s v="2024-07-26"/>
    <s v="Ishaan Verma"/>
    <s v="Corporate"/>
    <s v="West"/>
    <x v="2"/>
    <s v="Illinois"/>
    <s v="Chicago"/>
    <x v="2"/>
    <x v="5"/>
    <s v="Copy Paper"/>
    <n v="7"/>
    <n v="7"/>
    <n v="115.34"/>
    <x v="0"/>
    <n v="767.01"/>
    <n v="767.01"/>
    <n v="-21.54"/>
    <s v="Second Class"/>
    <s v="Card"/>
  </r>
  <r>
    <s v="ORD-1162"/>
    <d v="2024-01-22T00:00:00"/>
    <s v="2024-01-31"/>
    <s v="Sara Khan"/>
    <s v="Corporate"/>
    <s v="East"/>
    <x v="3"/>
    <s v="Washington"/>
    <s v="Tacoma"/>
    <x v="2"/>
    <x v="4"/>
    <s v="Presentation Binder"/>
    <n v="1"/>
    <n v="1"/>
    <n v="394.14"/>
    <x v="0"/>
    <n v="374.43"/>
    <n v="374.43"/>
    <n v="71.19"/>
    <s v="First Class"/>
    <s v="Card"/>
  </r>
  <r>
    <s v="ORD-1163"/>
    <d v="2023-07-14T00:00:00"/>
    <s v="2023-07-18"/>
    <s v="Anaya Rao"/>
    <s v="Consumer"/>
    <s v="Central"/>
    <x v="1"/>
    <s v="Washington"/>
    <s v="Seattle"/>
    <x v="1"/>
    <x v="1"/>
    <s v="Conference Table"/>
    <n v="8"/>
    <n v="8"/>
    <n v="412.18"/>
    <x v="1"/>
    <n v="2308.21"/>
    <n v="2308.21"/>
    <n v="226.26"/>
    <s v="Same Day"/>
    <s v="Digital Wallet"/>
  </r>
  <r>
    <s v="ORD-1164"/>
    <d v="2024-10-26T00:00:00"/>
    <s v="2024-11-03"/>
    <s v="Dev Mehta"/>
    <s v="Consumer"/>
    <s v="Central"/>
    <x v="1"/>
    <s v="Texas"/>
    <s v="Dallas"/>
    <x v="0"/>
    <x v="3"/>
    <s v="Smartphone"/>
    <n v="5"/>
    <n v="5"/>
    <n v="166.96"/>
    <x v="3"/>
    <n v="709.58"/>
    <n v="709.58"/>
    <n v="24.38"/>
    <s v="Same Day"/>
    <s v="Card"/>
  </r>
  <r>
    <s v="ORD-1165"/>
    <d v="2023-08-15T00:00:00"/>
    <s v="2023-08-22"/>
    <s v="Riya Desai"/>
    <s v="Consumer"/>
    <s v="East"/>
    <x v="3"/>
    <s v="Washington"/>
    <s v="Seattle"/>
    <x v="0"/>
    <x v="3"/>
    <s v="Smartphone"/>
    <n v="1"/>
    <n v="1"/>
    <n v="123.26"/>
    <x v="5"/>
    <n v="98.61"/>
    <n v="98.61"/>
    <n v="8.52"/>
    <s v="Second Class"/>
    <s v="Digital Wallet"/>
  </r>
  <r>
    <s v="ORD-1166"/>
    <d v="2023-09-09T00:00:00"/>
    <s v="2023-09-17"/>
    <s v="Ishaan Verma"/>
    <s v="Consumer"/>
    <s v="Central"/>
    <x v="1"/>
    <s v="Florida"/>
    <s v="Tampa"/>
    <x v="0"/>
    <x v="3"/>
    <s v="Desk Phone"/>
    <n v="6"/>
    <n v="6"/>
    <n v="121.74"/>
    <x v="3"/>
    <n v="620.87"/>
    <n v="620.87"/>
    <n v="164.28"/>
    <s v="Second Class"/>
    <s v="Digital Wallet"/>
  </r>
  <r>
    <s v="ORD-1167"/>
    <d v="2024-07-09T00:00:00"/>
    <s v="2024-07-10"/>
    <s v="Aarav Shah"/>
    <s v="Corporate"/>
    <s v="East"/>
    <x v="3"/>
    <s v="Washington"/>
    <s v="Seattle"/>
    <x v="1"/>
    <x v="1"/>
    <s v="Side Table"/>
    <n v="-3"/>
    <s v=""/>
    <n v="378.87"/>
    <x v="4"/>
    <n v="378.87"/>
    <n v="378.87"/>
    <n v="96.53"/>
    <s v="Second Class"/>
    <s v="Card"/>
  </r>
  <r>
    <s v="ORD-1168"/>
    <d v="2023-06-04T00:00:00"/>
    <s v="2023-06-12"/>
    <s v="Ishaan Verma"/>
    <s v="Consumer"/>
    <s v="West"/>
    <x v="2"/>
    <s v="California"/>
    <s v="Los Angeles"/>
    <x v="0"/>
    <x v="0"/>
    <s v="Webcam"/>
    <n v="8"/>
    <n v="8"/>
    <n v="172.95"/>
    <x v="5"/>
    <n v="1106.8800000000001"/>
    <n v="1106.8800000000001"/>
    <n v="125.47"/>
    <s v="Same Day"/>
    <s v="Card"/>
  </r>
  <r>
    <s v="ORD-1169"/>
    <d v="2024-06-26T00:00:00"/>
    <s v="2024-06-29"/>
    <s v="Meera Patel"/>
    <s v="Consumer"/>
    <s v="East"/>
    <x v="3"/>
    <s v="Washington"/>
    <s v="Spokane"/>
    <x v="1"/>
    <x v="2"/>
    <s v="Ergo Chair"/>
    <n v="5"/>
    <n v="5"/>
    <n v="15.58"/>
    <x v="1"/>
    <n v="54.53"/>
    <n v="54.53"/>
    <n v="7.09"/>
    <s v="Second Class"/>
    <s v="Bank Transfer"/>
  </r>
  <r>
    <s v="ORD-1170"/>
    <d v="2023-10-01T00:00:00"/>
    <s v="2023-10-05"/>
    <s v="Riya Desai"/>
    <s v="Home Office"/>
    <s v="West"/>
    <x v="2"/>
    <s v="Florida"/>
    <s v="Miami"/>
    <x v="2"/>
    <x v="4"/>
    <s v="File Binder"/>
    <n v="6"/>
    <n v="6"/>
    <n v="432.01"/>
    <x v="3"/>
    <n v="2203.25"/>
    <n v="2203.25"/>
    <n v="176.04"/>
    <s v="Standard Class"/>
    <s v="Card"/>
  </r>
  <r>
    <s v="ORD-1171"/>
    <d v="2024-01-24T00:00:00"/>
    <s v="2024-01-26"/>
    <s v="Ishaan Verma"/>
    <s v="Corporate"/>
    <s v="Central"/>
    <x v="1"/>
    <s v="Florida"/>
    <s v="Tampa"/>
    <x v="2"/>
    <x v="5"/>
    <s v="Copy Paper"/>
    <n v="8"/>
    <n v="8"/>
    <n v="32.799999999999997"/>
    <x v="4"/>
    <n v="262.39999999999998"/>
    <n v="262.39999999999998"/>
    <n v="37.6"/>
    <s v="Standard Class"/>
    <s v="Card"/>
  </r>
  <r>
    <s v="ORD-1172"/>
    <d v="2023-08-05T00:00:00"/>
    <s v="2023-08-10"/>
    <s v="Aarav Shah"/>
    <s v="Consumer"/>
    <s v="Central"/>
    <x v="1"/>
    <s v="Washington"/>
    <s v="Tacoma"/>
    <x v="1"/>
    <x v="1"/>
    <s v="Office Table"/>
    <n v="8"/>
    <n v="8"/>
    <n v="127.82"/>
    <x v="4"/>
    <n v="1022.56"/>
    <n v="1022.56"/>
    <n v="137.88"/>
    <s v="Second Class"/>
    <s v="Cash"/>
  </r>
  <r>
    <s v="ORD-1173"/>
    <d v="2024-02-12T00:00:00"/>
    <s v="2024-02-19"/>
    <s v="Dev Mehta"/>
    <s v="Corporate"/>
    <s v="East"/>
    <x v="3"/>
    <s v="California"/>
    <s v="San Diego"/>
    <x v="0"/>
    <x v="0"/>
    <s v="Webcam"/>
    <n v="3"/>
    <n v="3"/>
    <n v="257.27"/>
    <x v="5"/>
    <n v="617.45000000000005"/>
    <n v="617.45000000000005"/>
    <n v="125.92"/>
    <s v="Standard Class"/>
    <s v="Bank Transfer"/>
  </r>
  <r>
    <s v="ORD-1174"/>
    <d v="2023-04-11T00:00:00"/>
    <s v="2023-04-18"/>
    <s v="Dev Mehta"/>
    <s v="Consumer"/>
    <s v="Central"/>
    <x v="1"/>
    <s v="Florida"/>
    <s v="Miami"/>
    <x v="1"/>
    <x v="2"/>
    <s v="Office Chair"/>
    <n v="2"/>
    <n v="2"/>
    <n v="158.54"/>
    <x v="5"/>
    <n v="253.66"/>
    <n v="253.66"/>
    <n v="65.760000000000005"/>
    <s v="Same Day"/>
    <s v="Cash"/>
  </r>
  <r>
    <s v="ORD-1175"/>
    <d v="2024-07-20T00:00:00"/>
    <s v="2024-07-25"/>
    <s v="Sara Khan"/>
    <s v="Home Office"/>
    <s v="West"/>
    <x v="2"/>
    <s v="Florida"/>
    <s v="Orlando"/>
    <x v="2"/>
    <x v="4"/>
    <s v="Ring Binder"/>
    <n v="3"/>
    <n v="3"/>
    <n v="308.43"/>
    <x v="1"/>
    <n v="647.70000000000005"/>
    <n v="647.70000000000005"/>
    <n v="-3.35"/>
    <s v="First Class"/>
    <s v="Cash"/>
  </r>
  <r>
    <s v="ORD-1176"/>
    <d v="2024-12-29T00:00:00"/>
    <s v="2025-01-03"/>
    <s v="Ishaan Verma"/>
    <s v="Corporate"/>
    <s v="Central"/>
    <x v="1"/>
    <s v="Washington"/>
    <s v="Seattle"/>
    <x v="2"/>
    <x v="5"/>
    <s v="A4 Paper"/>
    <n v="7"/>
    <n v="7"/>
    <n v="147.97"/>
    <x v="4"/>
    <n v="1035.79"/>
    <n v="1035.79"/>
    <n v="-142.84"/>
    <s v="Second Class"/>
    <s v="Card"/>
  </r>
  <r>
    <s v="ORD-1177"/>
    <d v="2024-03-17T00:00:00"/>
    <s v="2024-03-19"/>
    <s v="Dev Mehta"/>
    <s v="Corporate"/>
    <s v="West"/>
    <x v="2"/>
    <s v="Florida"/>
    <s v="Tampa"/>
    <x v="1"/>
    <x v="1"/>
    <s v="Conference Table"/>
    <n v="7"/>
    <n v="7"/>
    <n v="53.66"/>
    <x v="4"/>
    <n v="375.62"/>
    <n v="375.62"/>
    <n v="-6.46"/>
    <s v="Same Day"/>
    <s v="Digital Wallet"/>
  </r>
  <r>
    <s v="ORD-1178"/>
    <d v="2024-07-26T00:00:00"/>
    <s v="2024-07-31"/>
    <s v="Riya Desai"/>
    <s v="Corporate"/>
    <s v="East"/>
    <x v="3"/>
    <s v="New York"/>
    <s v="Albany"/>
    <x v="1"/>
    <x v="2"/>
    <s v="Ergo Chair"/>
    <n v="3"/>
    <n v="3"/>
    <n v="310.91000000000003"/>
    <x v="0"/>
    <n v="886.09"/>
    <n v="886.09"/>
    <n v="-102.9"/>
    <s v="Second Class"/>
    <s v="Digital Wallet"/>
  </r>
  <r>
    <s v="ORD-1179"/>
    <d v="2024-03-07T00:00:00"/>
    <s v="2024-03-15"/>
    <s v="Sara Khan"/>
    <s v="Corporate"/>
    <s v="West"/>
    <x v="2"/>
    <s v="Texas"/>
    <s v="Dallas"/>
    <x v="2"/>
    <x v="4"/>
    <s v="Ring Binder"/>
    <n v="2"/>
    <n v="2"/>
    <n v="167.62"/>
    <x v="0"/>
    <n v="318.48"/>
    <n v="318.48"/>
    <n v="48.29"/>
    <s v="First Class"/>
    <s v="Card"/>
  </r>
  <r>
    <s v="ORD-1180"/>
    <d v="2023-12-07T00:00:00"/>
    <s v="2023-12-10"/>
    <s v="Riya Desai"/>
    <s v="Corporate"/>
    <s v="East"/>
    <x v="3"/>
    <s v="Illinois"/>
    <s v="Springfield"/>
    <x v="2"/>
    <x v="5"/>
    <s v="Notebook Paper"/>
    <n v="6"/>
    <n v="6"/>
    <n v="202.58"/>
    <x v="3"/>
    <n v="1033.1600000000001"/>
    <n v="1033.1600000000001"/>
    <n v="201.59"/>
    <s v="First Class"/>
    <s v="Cash"/>
  </r>
  <r>
    <s v="ORD-1181"/>
    <d v="2023-11-23T00:00:00"/>
    <s v="2023-11-28"/>
    <s v="Anaya Rao"/>
    <s v="Corporate"/>
    <s v="West"/>
    <x v="2"/>
    <s v="Texas"/>
    <s v="Austin"/>
    <x v="2"/>
    <x v="5"/>
    <s v="Copy Paper"/>
    <n v="8"/>
    <n v="8"/>
    <n v="435.75"/>
    <x v="0"/>
    <n v="3311.7"/>
    <n v="3311.7"/>
    <n v="-99.66"/>
    <s v="Second Class"/>
    <s v="Cash"/>
  </r>
  <r>
    <s v="ORD-1182"/>
    <d v="2024-07-17T00:00:00"/>
    <s v="2024-07-22"/>
    <s v="Meera Patel"/>
    <s v="Corporate"/>
    <s v="South"/>
    <x v="0"/>
    <s v="California"/>
    <s v="San Francisco"/>
    <x v="0"/>
    <x v="0"/>
    <s v="Keyboard"/>
    <n v="8"/>
    <n v="8"/>
    <n v="424.79"/>
    <x v="0"/>
    <n v="3228.4"/>
    <n v="3228.4"/>
    <n v="70.02"/>
    <s v="First Class"/>
    <s v="Cash"/>
  </r>
  <r>
    <s v="ORD-1183"/>
    <d v="2024-11-05T00:00:00"/>
    <s v="2024-11-13"/>
    <s v="Anaya Rao"/>
    <s v="Home Office"/>
    <s v="South"/>
    <x v="0"/>
    <s v="New York"/>
    <s v="Albany"/>
    <x v="2"/>
    <x v="4"/>
    <s v="File Binder"/>
    <n v="7"/>
    <n v="7"/>
    <n v="356.77"/>
    <x v="4"/>
    <n v="2497.39"/>
    <n v="2497.39"/>
    <n v="66.36"/>
    <s v="Standard Class"/>
    <s v="Bank Transfer"/>
  </r>
  <r>
    <s v="ORD-1184"/>
    <d v="2024-07-03T00:00:00"/>
    <s v="2024-07-09"/>
    <s v="Kabir Joshi"/>
    <s v="Home Office"/>
    <s v="West"/>
    <x v="2"/>
    <s v="Illinois"/>
    <s v="Peoria"/>
    <x v="0"/>
    <x v="0"/>
    <s v="Webcam"/>
    <n v="2"/>
    <n v="2"/>
    <m/>
    <x v="0"/>
    <n v="107.05"/>
    <n v="107.05"/>
    <n v="13.11"/>
    <s v="Same Day"/>
    <s v="Bank Transfer"/>
  </r>
  <r>
    <s v="ORD-1185"/>
    <d v="2023-04-19T00:00:00"/>
    <s v="2023-04-23"/>
    <s v="Ishaan Verma"/>
    <s v="Corporate"/>
    <s v="South"/>
    <x v="0"/>
    <s v="California"/>
    <s v="Los Angeles"/>
    <x v="2"/>
    <x v="5"/>
    <s v="Notebook Paper"/>
    <n v="5"/>
    <n v="5"/>
    <n v="106.12"/>
    <x v="1"/>
    <n v="371.42"/>
    <n v="371.42"/>
    <n v="21.78"/>
    <s v="Second Class"/>
    <s v="Bank Transfer"/>
  </r>
  <r>
    <s v="ORD-1186"/>
    <d v="2024-05-09T00:00:00"/>
    <s v="2024-05-12"/>
    <s v="Dev Mehta"/>
    <s v="Corporate"/>
    <s v="Central"/>
    <x v="1"/>
    <s v="California"/>
    <s v="San Diego"/>
    <x v="1"/>
    <x v="2"/>
    <s v="Office Chair"/>
    <n v="7"/>
    <n v="7"/>
    <n v="414.88"/>
    <x v="4"/>
    <n v="2904.16"/>
    <n v="2904.16"/>
    <n v="-367.69"/>
    <s v="Second Class"/>
    <s v="Digital Wallet"/>
  </r>
  <r>
    <s v="ORD-1187"/>
    <d v="2024-05-02T00:00:00"/>
    <s v="2024-05-04"/>
    <s v="Aarav Shah"/>
    <s v="Corporate"/>
    <s v="West"/>
    <x v="2"/>
    <s v="California"/>
    <s v="San Diego"/>
    <x v="2"/>
    <x v="4"/>
    <s v="File Binder"/>
    <n v="8"/>
    <n v="8"/>
    <n v="148.96"/>
    <x v="2"/>
    <n v="1072.51"/>
    <n v="1072.51"/>
    <n v="-171.01"/>
    <s v="Second Class"/>
    <s v="Cash"/>
  </r>
  <r>
    <s v="ORD-1188"/>
    <d v="2023-06-28T00:00:00"/>
    <s v="2023-07-05"/>
    <s v="Kabir Joshi"/>
    <s v="Consumer"/>
    <s v="South"/>
    <x v="0"/>
    <s v="Illinois"/>
    <s v="Chicago"/>
    <x v="0"/>
    <x v="3"/>
    <s v="Smartphone"/>
    <n v="6"/>
    <n v="6"/>
    <n v="255.45"/>
    <x v="3"/>
    <n v="1302.79"/>
    <n v="1302.79"/>
    <n v="-95.56"/>
    <s v="Standard Class"/>
    <s v="Cash"/>
  </r>
  <r>
    <s v="ORD-1189"/>
    <d v="2024-08-29T00:00:00"/>
    <s v="2024-08-31"/>
    <s v="Meera Patel"/>
    <s v="Home Office"/>
    <s v="East"/>
    <x v="3"/>
    <s v="Florida"/>
    <s v="Orlando"/>
    <x v="2"/>
    <x v="5"/>
    <s v="Notebook Paper"/>
    <n v="1"/>
    <n v="1"/>
    <n v="319.49"/>
    <x v="0"/>
    <n v="303.52"/>
    <n v="303.52"/>
    <n v="-15.77"/>
    <s v="First Class"/>
    <s v="Cash"/>
  </r>
  <r>
    <s v="ORD-1190"/>
    <d v="2023-04-27T00:00:00"/>
    <s v="2023-05-04"/>
    <s v="Anaya Rao"/>
    <s v="Home Office"/>
    <s v="West"/>
    <x v="2"/>
    <s v="Texas"/>
    <s v="Austin"/>
    <x v="2"/>
    <x v="5"/>
    <s v="Notebook Paper"/>
    <n v="8"/>
    <n v="8"/>
    <n v="241.25"/>
    <x v="1"/>
    <n v="1351"/>
    <n v="1351"/>
    <n v="-48.41"/>
    <s v="First Class"/>
    <s v="Digital Wallet"/>
  </r>
  <r>
    <s v="ORD-1191"/>
    <d v="2023-06-26T00:00:00"/>
    <s v="2023-06-29"/>
    <s v="Dev Mehta"/>
    <s v="Consumer"/>
    <s v="East"/>
    <x v="3"/>
    <s v="Washington"/>
    <s v="Tacoma"/>
    <x v="0"/>
    <x v="3"/>
    <s v="Smartphone"/>
    <n v="5"/>
    <n v="5"/>
    <n v="414.06"/>
    <x v="5"/>
    <n v="1656.24"/>
    <n v="1656.24"/>
    <n v="-233.55"/>
    <s v="Standard Class"/>
    <s v="Cash"/>
  </r>
  <r>
    <s v="ORD-1192"/>
    <d v="2024-12-11T00:00:00"/>
    <s v="2024-12-18"/>
    <s v="Kabir Joshi"/>
    <s v="Corporate"/>
    <s v="East"/>
    <x v="3"/>
    <s v="New York"/>
    <s v="Albany"/>
    <x v="2"/>
    <x v="4"/>
    <s v="File Binder"/>
    <n v="7"/>
    <n v="7"/>
    <n v="192.86"/>
    <x v="0"/>
    <n v="1282.52"/>
    <n v="1282.52"/>
    <n v="108.26"/>
    <s v="Second Class"/>
    <s v="Digital Wallet"/>
  </r>
  <r>
    <s v="ORD-1193"/>
    <d v="2023-05-24T00:00:00"/>
    <s v="2023-06-01"/>
    <s v="Kabir Joshi"/>
    <s v="Consumer"/>
    <s v="South"/>
    <x v="0"/>
    <s v="New York"/>
    <s v="Buffalo"/>
    <x v="2"/>
    <x v="4"/>
    <s v="File Binder"/>
    <n v="8"/>
    <n v="8"/>
    <n v="281.77999999999997"/>
    <x v="2"/>
    <n v="2028.82"/>
    <n v="2028.82"/>
    <n v="523.13"/>
    <s v="Same Day"/>
    <s v="Digital Wallet"/>
  </r>
  <r>
    <s v="ORD-1194"/>
    <d v="2024-05-18T00:00:00"/>
    <s v="2024-05-22"/>
    <s v="Riya Desai"/>
    <s v="Consumer"/>
    <s v="Central"/>
    <x v="1"/>
    <s v="Florida"/>
    <s v="Tampa"/>
    <x v="0"/>
    <x v="0"/>
    <s v="Keyboard"/>
    <n v="8"/>
    <n v="8"/>
    <n v="224.01"/>
    <x v="4"/>
    <n v="1792.08"/>
    <n v="1792.08"/>
    <n v="143.52000000000001"/>
    <s v="First Class"/>
    <s v="Cash"/>
  </r>
  <r>
    <s v="ORD-1195"/>
    <d v="2024-08-02T00:00:00"/>
    <s v="2024-08-08"/>
    <s v="Aarav Shah"/>
    <s v="Home Office"/>
    <s v="South"/>
    <x v="0"/>
    <s v="Washington"/>
    <s v="Spokane"/>
    <x v="2"/>
    <x v="5"/>
    <s v="Copy Paper"/>
    <n v="2"/>
    <n v="2"/>
    <n v="261.14"/>
    <x v="2"/>
    <n v="470.05"/>
    <n v="470.05"/>
    <n v="82.99"/>
    <s v="Second Class"/>
    <s v="Digital Wallet"/>
  </r>
  <r>
    <s v="ORD-1196"/>
    <d v="2024-10-31T00:00:00"/>
    <s v="2024-11-02"/>
    <s v="Ishaan Verma"/>
    <s v="Consumer"/>
    <s v="East"/>
    <x v="3"/>
    <s v="New York"/>
    <s v="Buffalo"/>
    <x v="1"/>
    <x v="2"/>
    <s v="Ergo Chair"/>
    <n v="1"/>
    <n v="1"/>
    <n v="206.78"/>
    <x v="2"/>
    <n v="186.1"/>
    <n v="186.1"/>
    <n v="40.31"/>
    <s v="First Class"/>
    <s v="Digital Wallet"/>
  </r>
  <r>
    <s v="ORD-1197"/>
    <d v="2024-09-22T00:00:00"/>
    <s v="2024-09-27"/>
    <s v="Kabir Joshi"/>
    <s v="Corporate"/>
    <s v="Central"/>
    <x v="1"/>
    <s v="New York"/>
    <s v="New York City"/>
    <x v="1"/>
    <x v="1"/>
    <s v="Conference Table"/>
    <n v="4"/>
    <n v="4"/>
    <n v="364"/>
    <x v="5"/>
    <n v="1164.8"/>
    <n v="1164.8"/>
    <n v="-21.69"/>
    <s v="First Class"/>
    <s v="Card"/>
  </r>
  <r>
    <s v="ORD-1198"/>
    <d v="2024-02-26T00:00:00"/>
    <s v="2024-03-03"/>
    <s v="Sara Khan"/>
    <s v="Home Office"/>
    <s v="South"/>
    <x v="0"/>
    <s v="California"/>
    <s v="San Diego"/>
    <x v="1"/>
    <x v="1"/>
    <s v="Conference Table"/>
    <n v="3"/>
    <n v="3"/>
    <n v="318.02999999999997"/>
    <x v="6"/>
    <n v="906.39"/>
    <n v="906.39"/>
    <n v="-59.05"/>
    <s v="Second Class"/>
    <s v="Bank Transfer"/>
  </r>
  <r>
    <s v="ORD-1199"/>
    <d v="2024-02-29T00:00:00"/>
    <s v="2024-03-05"/>
    <s v="Dev Mehta"/>
    <s v="Corporate"/>
    <s v="South"/>
    <x v="0"/>
    <s v="Florida"/>
    <s v="Orlando"/>
    <x v="0"/>
    <x v="0"/>
    <s v="Mouse"/>
    <n v="2"/>
    <n v="2"/>
    <n v="288.06"/>
    <x v="4"/>
    <n v="576.12"/>
    <n v="576.12"/>
    <n v="3.06"/>
    <s v="Standard Class"/>
    <s v="Card"/>
  </r>
  <r>
    <s v="ORD-1200"/>
    <d v="2024-04-14T00:00:00"/>
    <s v="2024-04-21"/>
    <s v="Sara Khan"/>
    <s v="Corporate"/>
    <s v="Central"/>
    <x v="1"/>
    <s v="Washington"/>
    <s v="Tacoma"/>
    <x v="0"/>
    <x v="0"/>
    <s v="Mouse"/>
    <n v="6"/>
    <n v="6"/>
    <n v="383.75"/>
    <x v="5"/>
    <n v="1842"/>
    <n v="1842"/>
    <n v="5.43"/>
    <s v="First Class"/>
    <s v="Bank Transfer"/>
  </r>
  <r>
    <s v="ORD-1201"/>
    <d v="2024-08-14T00:00:00"/>
    <s v="2024-08-15"/>
    <s v="Meera Patel"/>
    <s v="Home Office"/>
    <s v="South"/>
    <x v="0"/>
    <s v="New York"/>
    <s v="Albany"/>
    <x v="0"/>
    <x v="3"/>
    <s v="Desk Phone"/>
    <n v="8"/>
    <n v="8"/>
    <n v="356.43"/>
    <x v="1"/>
    <n v="1996.01"/>
    <n v="1996.01"/>
    <n v="340.59"/>
    <s v="Standard Class"/>
    <s v="Cash"/>
  </r>
  <r>
    <s v="ORD-1202"/>
    <d v="2024-04-12T00:00:00"/>
    <s v="2024-04-17"/>
    <s v="Kabir Joshi"/>
    <s v="Corporate"/>
    <s v="West"/>
    <x v="2"/>
    <s v="California"/>
    <s v="San Diego"/>
    <x v="2"/>
    <x v="5"/>
    <s v="Copy Paper"/>
    <n v="4"/>
    <n v="4"/>
    <n v="448.1"/>
    <x v="0"/>
    <n v="1702.78"/>
    <n v="1702.78"/>
    <n v="384.47"/>
    <s v="First Class"/>
    <s v="Bank Transfer"/>
  </r>
  <r>
    <s v="ORD-1203"/>
    <d v="2024-01-16T00:00:00"/>
    <s v="2024-01-20"/>
    <s v="Anaya Rao"/>
    <s v="Home Office"/>
    <s v="West"/>
    <x v="2"/>
    <s v="Washington"/>
    <s v="Tacoma"/>
    <x v="1"/>
    <x v="2"/>
    <s v="Visitor Chair"/>
    <n v="3"/>
    <n v="3"/>
    <n v="30.89"/>
    <x v="1"/>
    <n v="64.87"/>
    <n v="64.87"/>
    <n v="-2.56"/>
    <s v="Standard Class"/>
    <s v="Card"/>
  </r>
  <r>
    <s v="ORD-1204"/>
    <d v="2024-05-03T00:00:00"/>
    <s v="2024-05-09"/>
    <s v="Meera Patel"/>
    <s v="Corporate"/>
    <s v="East"/>
    <x v="3"/>
    <s v="California"/>
    <s v="Los Angeles"/>
    <x v="1"/>
    <x v="1"/>
    <s v="Conference Table"/>
    <n v="4"/>
    <n v="4"/>
    <n v="237.59"/>
    <x v="3"/>
    <n v="807.81"/>
    <n v="807.81"/>
    <n v="-141.94999999999999"/>
    <s v="Standard Class"/>
    <s v="Cash"/>
  </r>
  <r>
    <s v="ORD-1205"/>
    <d v="2023-04-02T00:00:00"/>
    <s v="2023-04-05"/>
    <s v="Kabir Joshi"/>
    <s v="Consumer"/>
    <s v="West"/>
    <x v="2"/>
    <s v="Washington"/>
    <s v="Seattle"/>
    <x v="2"/>
    <x v="5"/>
    <s v="Copy Paper"/>
    <n v="2"/>
    <n v="2"/>
    <n v="146.5"/>
    <x v="2"/>
    <n v="263.7"/>
    <n v="263.7"/>
    <n v="-30.83"/>
    <s v="Second Class"/>
    <s v="Digital Wallet"/>
  </r>
  <r>
    <s v="ORD-1206"/>
    <d v="2023-08-07T00:00:00"/>
    <s v="2023-08-11"/>
    <s v="Meera Patel"/>
    <s v="Consumer"/>
    <s v="East"/>
    <x v="3"/>
    <s v="Washington"/>
    <s v="Tacoma"/>
    <x v="2"/>
    <x v="4"/>
    <s v="Ring Binder"/>
    <n v="3"/>
    <n v="3"/>
    <n v="414.59"/>
    <x v="5"/>
    <n v="995.02"/>
    <n v="995.02"/>
    <n v="135.13999999999999"/>
    <s v="Same Day"/>
    <s v="Bank Transfer"/>
  </r>
  <r>
    <s v="ORD-1207"/>
    <d v="2023-11-19T00:00:00"/>
    <s v="2023-11-24"/>
    <s v="Aarav Shah"/>
    <s v="Home Office"/>
    <s v="Central"/>
    <x v="1"/>
    <s v="New York"/>
    <s v="New York City"/>
    <x v="2"/>
    <x v="5"/>
    <s v="A4 Paper"/>
    <n v="5"/>
    <n v="5"/>
    <n v="292.92"/>
    <x v="0"/>
    <n v="1391.37"/>
    <n v="1391.37"/>
    <n v="103.74"/>
    <s v="Second Class"/>
    <s v="Digital Wallet"/>
  </r>
  <r>
    <s v="ORD-1208"/>
    <d v="2024-10-23T00:00:00"/>
    <s v="2024-10-25"/>
    <s v="Aarav Shah"/>
    <s v="Corporate"/>
    <s v="Central"/>
    <x v="1"/>
    <s v="California"/>
    <s v="Los Angeles"/>
    <x v="2"/>
    <x v="4"/>
    <s v="Ring Binder"/>
    <n v="8"/>
    <n v="8"/>
    <n v="178.56"/>
    <x v="0"/>
    <n v="1357.06"/>
    <n v="1357.06"/>
    <n v="67.59"/>
    <s v="Same Day"/>
    <s v="Digital Wallet"/>
  </r>
  <r>
    <s v="ORD-1209"/>
    <d v="2024-07-13T00:00:00"/>
    <s v="2024-07-15"/>
    <s v="Aarav Shah"/>
    <s v="Corporate"/>
    <s v="East"/>
    <x v="3"/>
    <s v="Washington"/>
    <s v="Seattle"/>
    <x v="2"/>
    <x v="4"/>
    <s v="Ring Binder"/>
    <n v="8"/>
    <n v="8"/>
    <n v="429.87"/>
    <x v="4"/>
    <n v="3438.96"/>
    <n v="3438.96"/>
    <n v="-592.61"/>
    <s v="Standard Class"/>
    <s v="Digital Wallet"/>
  </r>
  <r>
    <s v="ORD-1210"/>
    <d v="2023-10-21T00:00:00"/>
    <s v="2023-10-30"/>
    <s v="Kabir Joshi"/>
    <s v="Corporate"/>
    <s v="West"/>
    <x v="2"/>
    <s v="Washington"/>
    <s v="Tacoma"/>
    <x v="0"/>
    <x v="3"/>
    <s v="Smartphone"/>
    <n v="7"/>
    <n v="7"/>
    <n v="195.22"/>
    <x v="3"/>
    <n v="1161.56"/>
    <n v="1161.56"/>
    <n v="-165.04"/>
    <s v="Standard Class"/>
    <s v="Cash"/>
  </r>
  <r>
    <s v="ORD-1211"/>
    <d v="2024-07-03T00:00:00"/>
    <s v="2024-07-07"/>
    <s v="Aarav Shah"/>
    <s v="Consumer"/>
    <s v="West"/>
    <x v="2"/>
    <s v="Texas"/>
    <s v="Dallas"/>
    <x v="1"/>
    <x v="1"/>
    <s v="Conference Table"/>
    <n v="2"/>
    <n v="2"/>
    <n v="145.09"/>
    <x v="3"/>
    <n v="246.65"/>
    <n v="246.65"/>
    <n v="38.42"/>
    <s v="Standard Class"/>
    <s v="Digital Wallet"/>
  </r>
  <r>
    <s v="ORD-1212"/>
    <d v="2024-09-15T00:00:00"/>
    <s v="2024-09-16"/>
    <s v="Kabir Joshi"/>
    <s v="Corporate"/>
    <s v="Central"/>
    <x v="1"/>
    <s v="California"/>
    <s v="San Diego"/>
    <x v="0"/>
    <x v="3"/>
    <s v="Wireless Phone"/>
    <n v="3"/>
    <n v="3"/>
    <n v="60.79"/>
    <x v="1"/>
    <n v="127.66"/>
    <n v="127.66"/>
    <n v="-14.92"/>
    <s v="First Class"/>
    <s v="Cash"/>
  </r>
  <r>
    <s v="ORD-1213"/>
    <d v="2023-05-10T00:00:00"/>
    <s v="2023-05-17"/>
    <s v="Riya Desai"/>
    <s v="Home Office"/>
    <s v="West"/>
    <x v="2"/>
    <s v="Washington"/>
    <s v="Spokane"/>
    <x v="2"/>
    <x v="4"/>
    <s v="Presentation Binder"/>
    <n v="2"/>
    <n v="2"/>
    <n v="348.97"/>
    <x v="4"/>
    <n v="697.94"/>
    <n v="697.94"/>
    <n v="-18.07"/>
    <s v="Standard Class"/>
    <s v="Digital Wallet"/>
  </r>
  <r>
    <s v="ORD-1214"/>
    <d v="2024-06-07T00:00:00"/>
    <s v="2024-06-12"/>
    <s v="Meera Patel"/>
    <s v="Home Office"/>
    <s v="West"/>
    <x v="2"/>
    <s v="Texas"/>
    <s v="Houston"/>
    <x v="2"/>
    <x v="5"/>
    <s v="A4 Paper"/>
    <n v="8"/>
    <n v="8"/>
    <n v="387.84"/>
    <x v="0"/>
    <n v="2947.58"/>
    <n v="2947.58"/>
    <n v="-32.020000000000003"/>
    <s v="Standard Class"/>
    <s v="Card"/>
  </r>
  <r>
    <s v="ORD-1215"/>
    <d v="2023-09-08T00:00:00"/>
    <s v="2023-09-09"/>
    <s v="Anaya Rao"/>
    <s v="Consumer"/>
    <s v="Central"/>
    <x v="1"/>
    <s v="California"/>
    <s v="San Diego"/>
    <x v="1"/>
    <x v="2"/>
    <s v="Ergo Chair"/>
    <n v="6"/>
    <n v="6"/>
    <n v="177.28"/>
    <x v="0"/>
    <n v="1010.5"/>
    <n v="1010.5"/>
    <n v="-98.7"/>
    <s v="Same Day"/>
    <s v="Bank Transfer"/>
  </r>
  <r>
    <s v="ORD-1216"/>
    <d v="2023-03-21T00:00:00"/>
    <s v="2023-03-30"/>
    <s v="Aarav Shah"/>
    <s v="Corporate"/>
    <s v="West"/>
    <x v="2"/>
    <s v="Illinois"/>
    <s v="Springfield"/>
    <x v="2"/>
    <x v="4"/>
    <s v="Presentation Binder"/>
    <n v="2"/>
    <n v="2"/>
    <n v="229.9"/>
    <x v="4"/>
    <n v="459.8"/>
    <n v="459.8"/>
    <n v="-44.83"/>
    <s v="First Class"/>
    <s v="Bank Transfer"/>
  </r>
  <r>
    <s v="ORD-1217"/>
    <d v="2023-03-30T00:00:00"/>
    <s v="2023-04-04"/>
    <s v="Sara Khan"/>
    <s v="Corporate"/>
    <s v="Central"/>
    <x v="1"/>
    <s v="Illinois"/>
    <s v="Springfield"/>
    <x v="2"/>
    <x v="4"/>
    <s v="File Binder"/>
    <n v="1"/>
    <n v="1"/>
    <n v="171.06"/>
    <x v="2"/>
    <n v="153.94999999999999"/>
    <n v="153.94999999999999"/>
    <n v="12.22"/>
    <s v="Same Day"/>
    <s v="Cash"/>
  </r>
  <r>
    <s v="ORD-1218"/>
    <d v="2024-07-13T00:00:00"/>
    <s v="2024-07-19"/>
    <s v="Aarav Shah"/>
    <s v="Corporate"/>
    <s v="West"/>
    <x v="2"/>
    <s v="New York"/>
    <s v="New York City"/>
    <x v="0"/>
    <x v="0"/>
    <s v="Webcam"/>
    <n v="1"/>
    <n v="1"/>
    <n v="420.12"/>
    <x v="4"/>
    <n v="420.12"/>
    <n v="420.12"/>
    <n v="-30.59"/>
    <s v="Same Day"/>
    <s v="Bank Transfer"/>
  </r>
  <r>
    <s v="ORD-1219"/>
    <d v="2023-07-30T00:00:00"/>
    <s v="2023-08-02"/>
    <s v="Riya Desai"/>
    <s v="Consumer"/>
    <s v="West"/>
    <x v="2"/>
    <s v="Illinois"/>
    <s v="Chicago"/>
    <x v="1"/>
    <x v="2"/>
    <s v="Ergo Chair"/>
    <n v="7"/>
    <n v="7"/>
    <n v="225.48"/>
    <x v="4"/>
    <n v="1578.36"/>
    <n v="1578.36"/>
    <n v="422.02"/>
    <s v="Same Day"/>
    <s v="Bank Transfer"/>
  </r>
  <r>
    <s v="ORD-1220"/>
    <d v="2023-03-28T00:00:00"/>
    <s v="2023-03-29"/>
    <s v="Anaya Rao"/>
    <s v="Home Office"/>
    <s v="East"/>
    <x v="3"/>
    <s v="Illinois"/>
    <s v="Chicago"/>
    <x v="2"/>
    <x v="5"/>
    <s v="A4 Paper"/>
    <n v="3"/>
    <n v="3"/>
    <n v="289.64999999999998"/>
    <x v="3"/>
    <n v="738.61"/>
    <n v="738.61"/>
    <n v="-107.53"/>
    <s v="First Class"/>
    <s v="Bank Transfer"/>
  </r>
  <r>
    <s v="ORD-1221"/>
    <d v="2024-02-07T00:00:00"/>
    <s v="2024-02-11"/>
    <s v="Kabir Joshi"/>
    <s v="Home Office"/>
    <s v="West"/>
    <x v="2"/>
    <s v="Washington"/>
    <s v="Tacoma"/>
    <x v="2"/>
    <x v="4"/>
    <s v="Ring Binder"/>
    <n v="6"/>
    <n v="6"/>
    <n v="148.58000000000001"/>
    <x v="2"/>
    <n v="802.33"/>
    <n v="802.33"/>
    <n v="-58.2"/>
    <s v="Standard Class"/>
    <s v="Cash"/>
  </r>
  <r>
    <s v="ORD-1222"/>
    <d v="2024-04-22T00:00:00"/>
    <s v="2024-04-30"/>
    <s v="Riya Desai"/>
    <s v="Consumer"/>
    <s v="West"/>
    <x v="2"/>
    <s v="Texas"/>
    <s v="Dallas"/>
    <x v="2"/>
    <x v="5"/>
    <s v="A4 Paper"/>
    <n v="2"/>
    <n v="2"/>
    <n v="244.88"/>
    <x v="0"/>
    <n v="465.27"/>
    <n v="465.27"/>
    <n v="12.97"/>
    <s v="First Class"/>
    <s v="Card"/>
  </r>
  <r>
    <s v="ORD-1223"/>
    <d v="2023-12-02T00:00:00"/>
    <s v="2023-12-07"/>
    <s v="Riya Desai"/>
    <s v="Consumer"/>
    <s v="West"/>
    <x v="2"/>
    <s v="New York"/>
    <s v="New York City"/>
    <x v="1"/>
    <x v="1"/>
    <s v="Conference Table"/>
    <n v="4"/>
    <n v="4"/>
    <n v="436.03"/>
    <x v="3"/>
    <n v="1482.5"/>
    <n v="1482.5"/>
    <n v="83.3"/>
    <s v="Same Day"/>
    <s v="Cash"/>
  </r>
  <r>
    <s v="ORD-1224"/>
    <d v="2024-04-18T00:00:00"/>
    <s v="2024-04-25"/>
    <s v="Dev Mehta"/>
    <s v="Home Office"/>
    <s v="West"/>
    <x v="2"/>
    <s v="California"/>
    <s v="Los Angeles"/>
    <x v="1"/>
    <x v="2"/>
    <s v="Visitor Chair"/>
    <n v="2"/>
    <n v="2"/>
    <n v="13.28"/>
    <x v="0"/>
    <n v="25.23"/>
    <n v="25.23"/>
    <n v="-3.02"/>
    <s v="First Class"/>
    <s v="Card"/>
  </r>
  <r>
    <s v="ORD-1225"/>
    <d v="2023-03-08T00:00:00"/>
    <s v="2023-03-14"/>
    <s v="Meera Patel"/>
    <s v="Consumer"/>
    <s v="South"/>
    <x v="0"/>
    <s v="New York"/>
    <s v="Albany"/>
    <x v="1"/>
    <x v="2"/>
    <s v="Ergo Chair"/>
    <n v="8"/>
    <n v="8"/>
    <n v="365.71"/>
    <x v="4"/>
    <n v="2925.68"/>
    <n v="2925.68"/>
    <n v="691.44"/>
    <s v="Second Class"/>
    <s v="Digital Wallet"/>
  </r>
  <r>
    <s v="ORD-1226"/>
    <d v="2024-02-09T00:00:00"/>
    <s v="2024-02-12"/>
    <s v="Riya Desai"/>
    <s v="Corporate"/>
    <s v="South"/>
    <x v="0"/>
    <s v="Florida"/>
    <s v="Miami"/>
    <x v="0"/>
    <x v="0"/>
    <s v="Keyboard"/>
    <n v="7"/>
    <n v="7"/>
    <n v="309.98"/>
    <x v="0"/>
    <n v="2061.37"/>
    <n v="2061.37"/>
    <n v="-35.43"/>
    <s v="Standard Class"/>
    <s v="Cash"/>
  </r>
  <r>
    <s v="ORD-1227"/>
    <d v="2023-10-30T00:00:00"/>
    <s v="2023-11-06"/>
    <s v="Sara Khan"/>
    <s v="Home Office"/>
    <s v="East"/>
    <x v="3"/>
    <s v="Florida"/>
    <s v="Orlando"/>
    <x v="0"/>
    <x v="0"/>
    <s v="Webcam"/>
    <n v="8"/>
    <n v="8"/>
    <n v="34.950000000000003"/>
    <x v="2"/>
    <n v="251.64"/>
    <n v="251.64"/>
    <n v="-0.96"/>
    <s v="Standard Class"/>
    <s v="Digital Wallet"/>
  </r>
  <r>
    <s v="ORD-1228"/>
    <d v="2024-01-03T00:00:00"/>
    <s v="2024-01-10"/>
    <s v="Riya Desai"/>
    <s v="Consumer"/>
    <s v="West"/>
    <x v="2"/>
    <s v="Florida"/>
    <s v="Tampa"/>
    <x v="0"/>
    <x v="0"/>
    <s v="Mouse"/>
    <n v="8"/>
    <n v="8"/>
    <n v="160.06"/>
    <x v="5"/>
    <n v="1024.3800000000001"/>
    <n v="1024.3800000000001"/>
    <n v="52.35"/>
    <s v="Second Class"/>
    <s v="Card"/>
  </r>
  <r>
    <s v="ORD-1229"/>
    <d v="2023-03-01T00:00:00"/>
    <s v="2023-03-03"/>
    <s v="Sara Khan"/>
    <s v="Home Office"/>
    <s v="East"/>
    <x v="3"/>
    <s v="Florida"/>
    <s v="Tampa"/>
    <x v="2"/>
    <x v="4"/>
    <s v="Presentation Binder"/>
    <n v="6"/>
    <n v="6"/>
    <n v="346.94"/>
    <x v="0"/>
    <n v="1977.56"/>
    <n v="1977.56"/>
    <n v="530.04999999999995"/>
    <s v="Standard Class"/>
    <s v="Cash"/>
  </r>
  <r>
    <s v="ORD-1230"/>
    <d v="2024-02-02T00:00:00"/>
    <s v="2024-02-08"/>
    <s v="Aarav Shah"/>
    <s v="Home Office"/>
    <s v="Central"/>
    <x v="1"/>
    <s v="Texas"/>
    <s v="Houston"/>
    <x v="0"/>
    <x v="3"/>
    <s v="Wireless Phone"/>
    <n v="3"/>
    <n v="3"/>
    <n v="112.56"/>
    <x v="2"/>
    <n v="303.91000000000003"/>
    <n v="303.91000000000003"/>
    <n v="58"/>
    <s v="Second Class"/>
    <s v="Cash"/>
  </r>
  <r>
    <s v="ORD-1231"/>
    <d v="2024-07-09T00:00:00"/>
    <s v="2024-07-13"/>
    <s v="Aarav Shah"/>
    <s v="Home Office"/>
    <s v="South"/>
    <x v="0"/>
    <s v="Texas"/>
    <s v="Houston"/>
    <x v="2"/>
    <x v="5"/>
    <s v="A4 Paper"/>
    <n v="8"/>
    <n v="8"/>
    <n v="24.78"/>
    <x v="4"/>
    <n v="198.24"/>
    <n v="198.24"/>
    <n v="-14.47"/>
    <s v="First Class"/>
    <s v="Cash"/>
  </r>
  <r>
    <s v="ORD-1232"/>
    <d v="2023-12-15T00:00:00"/>
    <s v="2023-12-18"/>
    <s v="Meera Patel"/>
    <s v="Home Office"/>
    <s v="Central"/>
    <x v="1"/>
    <s v="Washington"/>
    <s v="Seattle"/>
    <x v="1"/>
    <x v="1"/>
    <s v="Office Table"/>
    <n v="6"/>
    <n v="6"/>
    <n v="34.32"/>
    <x v="0"/>
    <n v="195.62"/>
    <n v="195.62"/>
    <n v="17.57"/>
    <s v="First Class"/>
    <s v="Digital Wallet"/>
  </r>
  <r>
    <s v="ORD-1233"/>
    <d v="2023-04-14T00:00:00"/>
    <s v="2023-04-21"/>
    <s v="Ishaan Verma"/>
    <s v="Home Office"/>
    <s v="Central"/>
    <x v="1"/>
    <s v="Texas"/>
    <s v="Dallas"/>
    <x v="0"/>
    <x v="3"/>
    <s v="Desk Phone"/>
    <n v="6"/>
    <n v="6"/>
    <n v="68.31"/>
    <x v="0"/>
    <n v="389.37"/>
    <n v="389.37"/>
    <n v="61.09"/>
    <s v="First Class"/>
    <s v="Cash"/>
  </r>
  <r>
    <s v="ORD-1234"/>
    <d v="2024-08-26T00:00:00"/>
    <s v="2024-08-27"/>
    <s v="Anaya Rao"/>
    <s v="Home Office"/>
    <s v="West"/>
    <x v="2"/>
    <s v="New York"/>
    <s v="Buffalo"/>
    <x v="0"/>
    <x v="0"/>
    <s v="Keyboard"/>
    <n v="5"/>
    <n v="5"/>
    <n v="332.43"/>
    <x v="2"/>
    <n v="1495.94"/>
    <n v="1495.94"/>
    <n v="-181.64"/>
    <s v="First Class"/>
    <s v="Cash"/>
  </r>
  <r>
    <s v="ORD-1235"/>
    <d v="2024-08-02T00:00:00"/>
    <s v="2024-08-08"/>
    <s v="Kabir Joshi"/>
    <s v="Home Office"/>
    <s v="West"/>
    <x v="2"/>
    <s v="California"/>
    <s v="San Diego"/>
    <x v="0"/>
    <x v="0"/>
    <s v="Webcam"/>
    <n v="3"/>
    <n v="3"/>
    <n v="154.38"/>
    <x v="4"/>
    <n v="463.14"/>
    <n v="463.14"/>
    <n v="-32.659999999999997"/>
    <s v="First Class"/>
    <s v="Digital Wallet"/>
  </r>
  <r>
    <s v="ORD-1236"/>
    <d v="2023-09-29T00:00:00"/>
    <s v="2023-09-30"/>
    <s v="Anaya Rao"/>
    <s v="Corporate"/>
    <s v="South"/>
    <x v="0"/>
    <s v="New York"/>
    <s v="New York City"/>
    <x v="1"/>
    <x v="2"/>
    <s v="Ergo Chair"/>
    <n v="2"/>
    <n v="2"/>
    <n v="162.91"/>
    <x v="4"/>
    <n v="325.82"/>
    <n v="325.82"/>
    <n v="49.33"/>
    <s v="Same Day"/>
    <s v="Digital Wallet"/>
  </r>
  <r>
    <s v="ORD-1237"/>
    <d v="2023-12-26T00:00:00"/>
    <s v="2023-12-30"/>
    <s v="Kabir Joshi"/>
    <s v="Corporate"/>
    <s v="West"/>
    <x v="2"/>
    <s v="Illinois"/>
    <s v="Springfield"/>
    <x v="2"/>
    <x v="5"/>
    <s v="A4 Paper"/>
    <n v="2"/>
    <n v="2"/>
    <n v="374.33"/>
    <x v="5"/>
    <n v="598.92999999999995"/>
    <n v="598.92999999999995"/>
    <n v="71.540000000000006"/>
    <s v="First Class"/>
    <s v="Card"/>
  </r>
  <r>
    <s v="ORD-1238"/>
    <d v="2023-09-25T00:00:00"/>
    <s v="2023-09-27"/>
    <s v="Meera Patel"/>
    <s v="Corporate"/>
    <s v="South"/>
    <x v="0"/>
    <s v="California"/>
    <s v="Los Angeles"/>
    <x v="2"/>
    <x v="4"/>
    <s v="File Binder"/>
    <n v="6"/>
    <n v="6"/>
    <n v="83.19"/>
    <x v="3"/>
    <n v="424.27"/>
    <n v="424.27"/>
    <n v="-44.97"/>
    <s v="Standard Class"/>
    <s v="Digital Wallet"/>
  </r>
  <r>
    <s v="ORD-1239"/>
    <d v="2023-06-18T00:00:00"/>
    <s v="2023-06-22"/>
    <s v="Anaya Rao"/>
    <s v="Home Office"/>
    <s v="Central"/>
    <x v="1"/>
    <s v="Illinois"/>
    <s v="Springfield"/>
    <x v="0"/>
    <x v="0"/>
    <s v="Webcam"/>
    <n v="3"/>
    <n v="3"/>
    <n v="31.67"/>
    <x v="2"/>
    <n v="85.51"/>
    <n v="85.51"/>
    <n v="-7.31"/>
    <s v="First Class"/>
    <s v="Bank Transfer"/>
  </r>
  <r>
    <s v="ORD-1240"/>
    <d v="2023-04-09T00:00:00"/>
    <s v="2023-04-11"/>
    <s v="Riya Desai"/>
    <s v="Home Office"/>
    <s v="South"/>
    <x v="0"/>
    <s v="California"/>
    <s v="San Diego"/>
    <x v="1"/>
    <x v="1"/>
    <s v="Office Table"/>
    <n v="8"/>
    <n v="8"/>
    <n v="75.89"/>
    <x v="2"/>
    <n v="546.41"/>
    <n v="546.41"/>
    <n v="-97.39"/>
    <s v="Standard Class"/>
    <s v="Card"/>
  </r>
  <r>
    <s v="ORD-1241"/>
    <d v="2023-06-24T00:00:00"/>
    <s v="2023-07-01"/>
    <s v="Ishaan Verma"/>
    <s v="Corporate"/>
    <s v="Central"/>
    <x v="1"/>
    <s v="Washington"/>
    <s v="Spokane"/>
    <x v="1"/>
    <x v="1"/>
    <s v="Office Table"/>
    <n v="2"/>
    <n v="2"/>
    <n v="217.32"/>
    <x v="4"/>
    <n v="434.64"/>
    <n v="434.64"/>
    <n v="-16.579999999999998"/>
    <s v="Same Day"/>
    <s v="Cash"/>
  </r>
  <r>
    <s v="ORD-1242"/>
    <d v="2024-01-26T00:00:00"/>
    <s v="2024-01-30"/>
    <s v="Riya Desai"/>
    <s v="Home Office"/>
    <s v="West"/>
    <x v="2"/>
    <s v="Texas"/>
    <s v="Houston"/>
    <x v="2"/>
    <x v="4"/>
    <s v="Ring Binder"/>
    <n v="8"/>
    <n v="8"/>
    <n v="27.72"/>
    <x v="3"/>
    <n v="188.5"/>
    <n v="188.5"/>
    <n v="6.4"/>
    <s v="Standard Class"/>
    <s v="Card"/>
  </r>
  <r>
    <s v="ORD-1243"/>
    <d v="2023-12-19T00:00:00"/>
    <s v="2023-12-26"/>
    <s v="Ishaan Verma"/>
    <s v="Home Office"/>
    <s v="East"/>
    <x v="3"/>
    <s v="Illinois"/>
    <s v="Springfield"/>
    <x v="0"/>
    <x v="0"/>
    <s v="Mouse"/>
    <n v="4"/>
    <n v="4"/>
    <n v="252.69"/>
    <x v="3"/>
    <n v="859.15"/>
    <n v="859.15"/>
    <n v="168.79"/>
    <s v="First Class"/>
    <s v="Card"/>
  </r>
  <r>
    <s v="ORD-1244"/>
    <d v="2023-02-05T00:00:00"/>
    <s v="2023-02-08"/>
    <s v="Sara Khan"/>
    <s v="Consumer"/>
    <s v="East"/>
    <x v="3"/>
    <s v="Illinois"/>
    <s v="Peoria"/>
    <x v="2"/>
    <x v="5"/>
    <s v="A4 Paper"/>
    <n v="3"/>
    <n v="3"/>
    <n v="61.16"/>
    <x v="3"/>
    <n v="155.96"/>
    <n v="155.96"/>
    <n v="-15.67"/>
    <s v="Same Day"/>
    <s v="Card"/>
  </r>
  <r>
    <s v="ORD-1245"/>
    <d v="2024-03-21T00:00:00"/>
    <s v="2024-03-23"/>
    <s v="Meera Patel"/>
    <s v="Corporate"/>
    <s v="South"/>
    <x v="0"/>
    <s v="New York"/>
    <s v="Albany"/>
    <x v="0"/>
    <x v="0"/>
    <s v="Webcam"/>
    <n v="3"/>
    <n v="3"/>
    <n v="376.68"/>
    <x v="2"/>
    <n v="1017.04"/>
    <n v="1017.04"/>
    <n v="-33.479999999999997"/>
    <s v="First Class"/>
    <s v="Bank Transfer"/>
  </r>
  <r>
    <s v="ORD-1246"/>
    <d v="2024-04-14T00:00:00"/>
    <s v="2024-04-16"/>
    <s v="Meera Patel"/>
    <s v="Home Office"/>
    <s v="West"/>
    <x v="2"/>
    <s v="California"/>
    <s v="San Francisco"/>
    <x v="0"/>
    <x v="3"/>
    <s v="Smartphone"/>
    <n v="7"/>
    <n v="7"/>
    <n v="57.73"/>
    <x v="0"/>
    <n v="383.9"/>
    <n v="383.9"/>
    <n v="-42.93"/>
    <s v="First Class"/>
    <s v="Digital Wallet"/>
  </r>
  <r>
    <s v="ORD-1247"/>
    <d v="2024-01-28T00:00:00"/>
    <s v="2024-02-04"/>
    <s v="Aarav Shah"/>
    <s v="Corporate"/>
    <s v="Central"/>
    <x v="1"/>
    <s v="Washington"/>
    <s v="Spokane"/>
    <x v="2"/>
    <x v="4"/>
    <s v="File Binder"/>
    <n v="8"/>
    <n v="8"/>
    <n v="24.56"/>
    <x v="2"/>
    <n v="176.83"/>
    <n v="176.83"/>
    <n v="0.95"/>
    <s v="Second Class"/>
    <s v="Card"/>
  </r>
  <r>
    <s v="ORD-1248"/>
    <d v="2024-05-01T00:00:00"/>
    <s v="2024-05-09"/>
    <s v="Meera Patel"/>
    <s v="Consumer"/>
    <s v="East"/>
    <x v="3"/>
    <s v="Texas"/>
    <s v="Dallas"/>
    <x v="0"/>
    <x v="0"/>
    <s v="Mouse"/>
    <n v="1"/>
    <n v="1"/>
    <n v="157.34"/>
    <x v="2"/>
    <n v="141.61000000000001"/>
    <n v="141.61000000000001"/>
    <n v="-5.23"/>
    <s v="Same Day"/>
    <s v="Bank Transfer"/>
  </r>
  <r>
    <s v="ORD-1249"/>
    <d v="2024-03-02T00:00:00"/>
    <s v="2024-03-09"/>
    <s v="Ishaan Verma"/>
    <s v="Home Office"/>
    <s v="Central"/>
    <x v="1"/>
    <s v="Illinois"/>
    <s v="Peoria"/>
    <x v="2"/>
    <x v="4"/>
    <s v="Ring Binder"/>
    <n v="2"/>
    <n v="2"/>
    <n v="91.07"/>
    <x v="0"/>
    <n v="173.03"/>
    <n v="173.03"/>
    <n v="41.56"/>
    <s v="Second Class"/>
    <s v="Card"/>
  </r>
  <r>
    <s v="ORD-1250"/>
    <d v="2024-12-27T00:00:00"/>
    <s v="2024-12-28"/>
    <s v="Kabir Joshi"/>
    <s v="Consumer"/>
    <s v="East"/>
    <x v="3"/>
    <s v="Illinois"/>
    <s v="Springfield"/>
    <x v="2"/>
    <x v="4"/>
    <s v="Ring Binder"/>
    <n v="3"/>
    <n v="3"/>
    <n v="352.99"/>
    <x v="5"/>
    <n v="847.18"/>
    <n v="847.18"/>
    <n v="190.19"/>
    <s v="Second Class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5E04B-5884-4950-AA2D-71887681FE2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cleaned" fld="17" baseField="0" baseItem="0" numFmtId="2"/>
    <dataField name="Sum of Profit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C31EA-C4B4-45A8-9CB9-D05DE46EDD1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7">
        <item m="1"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cleaned" fld="17" baseField="0" baseItem="0" numFmtId="2"/>
    <dataField name="Sum of Profit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57630-488A-4AD2-8C69-C72446F8C19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2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cleaned" fld="17" baseField="0" baseItem="0" numFmtId="2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C319C-5529-4BF2-B91F-FFD62BDF4CF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2"/>
        <item x="3"/>
        <item x="5"/>
        <item x="1"/>
        <item x="6"/>
        <item t="default"/>
      </items>
    </pivotField>
    <pivotField showAll="0"/>
    <pivotField dataField="1" numFmtId="2" showAll="0"/>
    <pivotField dataField="1"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cleaned" fld="17" baseField="0" baseItem="0" numFmtId="2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7EF47-6810-451E-91C1-6E8BB1B229D3}" name="Table1" displayName="Table1" ref="A1:U251" totalsRowShown="0" headerRowBorderDxfId="23" tableBorderDxfId="22">
  <autoFilter ref="A1:U251" xr:uid="{AE77EF47-6810-451E-91C1-6E8BB1B229D3}"/>
  <tableColumns count="21">
    <tableColumn id="1" xr3:uid="{8706E287-855D-464F-A4B9-B4B8ED3A4B84}" name="Order ID" dataDxfId="21"/>
    <tableColumn id="2" xr3:uid="{1DE73B4D-F162-4146-A116-A94F092ACCB2}" name="Order Date" dataDxfId="20"/>
    <tableColumn id="3" xr3:uid="{81ECCD61-CC80-4EBC-B338-1B10A42E3068}" name="Ship Date" dataDxfId="19"/>
    <tableColumn id="4" xr3:uid="{CF910F21-595A-4FDF-A1DF-EE421B827511}" name="Customer Name" dataDxfId="18"/>
    <tableColumn id="5" xr3:uid="{C217AE05-161E-46F8-91DB-DA84C40FCF6E}" name="Segment" dataDxfId="17"/>
    <tableColumn id="6" xr3:uid="{36E371A7-EE66-4897-8B9B-CA0840C9675B}" name="Region" dataDxfId="16"/>
    <tableColumn id="22" xr3:uid="{298EBAB9-7D8E-4146-B5E3-D34DA4A8F2AF}" name="Region_Cleaned" dataDxfId="15">
      <calculatedColumnFormula>IF(TRIM(F2)="","",PROPER(TRIM(F2)))</calculatedColumnFormula>
    </tableColumn>
    <tableColumn id="7" xr3:uid="{CA19D2A4-FBD5-45C3-851B-455D5FFB6CC2}" name="State" dataDxfId="14"/>
    <tableColumn id="8" xr3:uid="{D5A1DD0B-21B8-4EAE-9A41-582BD168A896}" name="City" dataDxfId="13"/>
    <tableColumn id="9" xr3:uid="{A630A189-116B-48F2-A0EE-EF211A30D9D5}" name="Category" dataDxfId="12"/>
    <tableColumn id="10" xr3:uid="{F5B38B9D-624A-431F-9210-F15952D63BB2}" name="Sub-Category" dataDxfId="11"/>
    <tableColumn id="11" xr3:uid="{A7A0A98B-C596-4064-B9B9-23E0034603CF}" name="Product Name" dataDxfId="10"/>
    <tableColumn id="12" xr3:uid="{9DC8F86B-2D19-4D93-8E78-2873B977EF27}" name="Quantity" dataDxfId="9"/>
    <tableColumn id="21" xr3:uid="{255956E8-96F8-4128-8589-017B8DC2F52F}" name="Quantity_Cleaned" dataDxfId="8">
      <calculatedColumnFormula>IFERROR(IF(TRIM(M2)="","",IF(UPPER(TRIM(M2))="N/A","",IF(VALUE(M2)&lt;0,"",VALUE(M2)))),"")</calculatedColumnFormula>
    </tableColumn>
    <tableColumn id="13" xr3:uid="{7F2E97CC-F0BA-4F0D-950F-883DA9C84D99}" name="Unit Price" dataDxfId="7"/>
    <tableColumn id="14" xr3:uid="{2C716C72-21D3-43B1-8F5B-C49BFEE11F10}" name="Discount" dataDxfId="6"/>
    <tableColumn id="15" xr3:uid="{C980C43A-6FCB-4D0D-98D7-A54330D7AA1F}" name="Sales" dataDxfId="5"/>
    <tableColumn id="19" xr3:uid="{C2168CE0-4129-4D19-9A9D-57750A5B3CC8}" name="Sales_cleaned" dataDxfId="4">
      <calculatedColumnFormula>IFERROR(IF(Q2&lt;&gt;"",Q2,IF(OR(M2="",O2="",P2=""),"",IF(OR(M2&lt;=0,O2&lt;=0,P2&lt;0,P2&gt;1),"",ROUND(M2*O2*(1-P2),2)))),"")</calculatedColumnFormula>
    </tableColumn>
    <tableColumn id="16" xr3:uid="{F08FD0F3-63BB-45E5-9D53-4D4C552EA8D2}" name="Profit" dataDxfId="3"/>
    <tableColumn id="17" xr3:uid="{85918C07-EEDD-43A1-A870-05B35A049AF8}" name="Ship Mode" dataDxfId="2"/>
    <tableColumn id="18" xr3:uid="{1A1727F9-7B72-4D70-9E44-36564B763EE3}" name="Payment Typ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3"/>
  <sheetViews>
    <sheetView tabSelected="1" workbookViewId="0">
      <pane ySplit="1" topLeftCell="A6" activePane="bottomLeft" state="frozen"/>
      <selection pane="bottomLeft" activeCell="H16" sqref="H16"/>
    </sheetView>
  </sheetViews>
  <sheetFormatPr defaultRowHeight="14.4" x14ac:dyDescent="0.3"/>
  <cols>
    <col min="1" max="3" width="12" customWidth="1"/>
    <col min="4" max="4" width="15" customWidth="1"/>
    <col min="5" max="5" width="13" customWidth="1"/>
    <col min="6" max="7" width="12" customWidth="1"/>
    <col min="8" max="8" width="15" customWidth="1"/>
    <col min="9" max="9" width="17" customWidth="1"/>
    <col min="10" max="10" width="14" customWidth="1"/>
    <col min="11" max="11" width="18" customWidth="1"/>
    <col min="12" max="16" width="12" customWidth="1"/>
    <col min="17" max="18" width="16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</v>
      </c>
      <c r="M2">
        <v>116.24</v>
      </c>
      <c r="N2">
        <v>0.05</v>
      </c>
      <c r="O2">
        <v>552.14</v>
      </c>
      <c r="P2">
        <v>87.67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23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1</v>
      </c>
      <c r="M3">
        <v>256.07</v>
      </c>
      <c r="N3">
        <v>0.3</v>
      </c>
      <c r="O3">
        <v>179.25</v>
      </c>
      <c r="P3">
        <v>21.32</v>
      </c>
      <c r="Q3" t="s">
        <v>41</v>
      </c>
      <c r="R3" t="s">
        <v>30</v>
      </c>
    </row>
    <row r="4" spans="1:18" x14ac:dyDescent="0.3">
      <c r="A4" t="s">
        <v>42</v>
      </c>
      <c r="B4" t="s">
        <v>43</v>
      </c>
      <c r="C4" t="s">
        <v>44</v>
      </c>
      <c r="D4" t="s">
        <v>21</v>
      </c>
      <c r="E4" t="s">
        <v>45</v>
      </c>
      <c r="F4" t="s">
        <v>46</v>
      </c>
      <c r="G4" t="s">
        <v>47</v>
      </c>
      <c r="H4" t="s">
        <v>48</v>
      </c>
      <c r="I4" t="s">
        <v>38</v>
      </c>
      <c r="J4" t="s">
        <v>39</v>
      </c>
      <c r="K4" t="s">
        <v>40</v>
      </c>
      <c r="L4">
        <v>5</v>
      </c>
      <c r="M4">
        <v>76.72</v>
      </c>
      <c r="N4">
        <v>0.1</v>
      </c>
      <c r="O4">
        <v>345.24</v>
      </c>
      <c r="P4">
        <v>-45.91</v>
      </c>
      <c r="Q4" t="s">
        <v>41</v>
      </c>
      <c r="R4" t="s">
        <v>30</v>
      </c>
    </row>
    <row r="5" spans="1:18" x14ac:dyDescent="0.3">
      <c r="A5" t="s">
        <v>49</v>
      </c>
      <c r="B5" t="s">
        <v>50</v>
      </c>
      <c r="C5" t="s">
        <v>51</v>
      </c>
      <c r="D5" t="s">
        <v>52</v>
      </c>
      <c r="E5" t="s">
        <v>22</v>
      </c>
      <c r="F5" t="s">
        <v>53</v>
      </c>
      <c r="G5" t="s">
        <v>36</v>
      </c>
      <c r="H5" t="s">
        <v>54</v>
      </c>
      <c r="I5" t="s">
        <v>26</v>
      </c>
      <c r="J5" t="s">
        <v>27</v>
      </c>
      <c r="K5" t="s">
        <v>28</v>
      </c>
      <c r="L5">
        <v>7</v>
      </c>
      <c r="M5">
        <v>42.83</v>
      </c>
      <c r="N5">
        <v>0.1</v>
      </c>
      <c r="O5">
        <v>269.83</v>
      </c>
      <c r="P5">
        <v>54.38</v>
      </c>
      <c r="Q5" t="s">
        <v>55</v>
      </c>
      <c r="R5" t="s">
        <v>56</v>
      </c>
    </row>
    <row r="6" spans="1:18" x14ac:dyDescent="0.3">
      <c r="A6" t="s">
        <v>57</v>
      </c>
      <c r="B6" t="s">
        <v>32</v>
      </c>
      <c r="C6" t="s">
        <v>58</v>
      </c>
      <c r="D6" t="s">
        <v>52</v>
      </c>
      <c r="E6" t="s">
        <v>22</v>
      </c>
      <c r="F6" t="s">
        <v>46</v>
      </c>
      <c r="G6" t="s">
        <v>24</v>
      </c>
      <c r="H6" t="s">
        <v>59</v>
      </c>
      <c r="I6" t="s">
        <v>38</v>
      </c>
      <c r="J6" t="s">
        <v>60</v>
      </c>
      <c r="K6" t="s">
        <v>61</v>
      </c>
      <c r="L6">
        <v>5</v>
      </c>
      <c r="M6">
        <v>208.41</v>
      </c>
      <c r="N6">
        <v>0.1</v>
      </c>
      <c r="O6">
        <v>937.85</v>
      </c>
      <c r="P6">
        <v>-98.64</v>
      </c>
      <c r="Q6" t="s">
        <v>29</v>
      </c>
      <c r="R6" t="s">
        <v>62</v>
      </c>
    </row>
    <row r="7" spans="1:18" x14ac:dyDescent="0.3">
      <c r="A7" t="s">
        <v>63</v>
      </c>
      <c r="B7" t="s">
        <v>64</v>
      </c>
      <c r="C7" t="s">
        <v>65</v>
      </c>
      <c r="D7" t="s">
        <v>66</v>
      </c>
      <c r="E7" t="s">
        <v>35</v>
      </c>
      <c r="F7" t="s">
        <v>67</v>
      </c>
      <c r="G7" t="s">
        <v>68</v>
      </c>
      <c r="H7" t="s">
        <v>69</v>
      </c>
      <c r="I7" t="s">
        <v>26</v>
      </c>
      <c r="J7" t="s">
        <v>70</v>
      </c>
      <c r="K7" t="s">
        <v>71</v>
      </c>
      <c r="L7">
        <v>7</v>
      </c>
      <c r="M7">
        <v>127.32</v>
      </c>
      <c r="N7">
        <v>0.3</v>
      </c>
      <c r="O7">
        <v>623.87</v>
      </c>
      <c r="P7">
        <v>85.19</v>
      </c>
      <c r="Q7" t="s">
        <v>41</v>
      </c>
      <c r="R7" t="s">
        <v>72</v>
      </c>
    </row>
    <row r="8" spans="1:18" x14ac:dyDescent="0.3">
      <c r="A8" t="s">
        <v>73</v>
      </c>
      <c r="B8" t="s">
        <v>74</v>
      </c>
      <c r="C8" t="s">
        <v>75</v>
      </c>
      <c r="D8" t="s">
        <v>76</v>
      </c>
      <c r="E8" t="s">
        <v>45</v>
      </c>
      <c r="F8" t="s">
        <v>67</v>
      </c>
      <c r="G8" t="s">
        <v>68</v>
      </c>
      <c r="H8" t="s">
        <v>77</v>
      </c>
      <c r="I8" t="s">
        <v>78</v>
      </c>
      <c r="J8" t="s">
        <v>79</v>
      </c>
      <c r="K8" t="s">
        <v>80</v>
      </c>
      <c r="L8">
        <v>6</v>
      </c>
      <c r="M8">
        <v>101.98</v>
      </c>
      <c r="N8">
        <v>0.15</v>
      </c>
      <c r="O8">
        <v>520.1</v>
      </c>
      <c r="P8">
        <v>1.04</v>
      </c>
      <c r="Q8" t="s">
        <v>41</v>
      </c>
      <c r="R8" t="s">
        <v>72</v>
      </c>
    </row>
    <row r="9" spans="1:18" x14ac:dyDescent="0.3">
      <c r="A9" t="s">
        <v>81</v>
      </c>
      <c r="B9" t="s">
        <v>82</v>
      </c>
      <c r="C9" t="s">
        <v>83</v>
      </c>
      <c r="E9" t="s">
        <v>22</v>
      </c>
      <c r="F9" t="s">
        <v>67</v>
      </c>
      <c r="G9" t="s">
        <v>84</v>
      </c>
      <c r="H9" t="s">
        <v>85</v>
      </c>
      <c r="I9" t="s">
        <v>26</v>
      </c>
      <c r="J9" t="s">
        <v>70</v>
      </c>
      <c r="K9" t="s">
        <v>86</v>
      </c>
      <c r="L9">
        <v>3</v>
      </c>
      <c r="M9">
        <v>233.21</v>
      </c>
      <c r="N9">
        <v>0</v>
      </c>
      <c r="O9">
        <v>699.63</v>
      </c>
      <c r="P9">
        <v>117.3</v>
      </c>
      <c r="Q9" t="s">
        <v>87</v>
      </c>
      <c r="R9" t="s">
        <v>30</v>
      </c>
    </row>
    <row r="10" spans="1:18" x14ac:dyDescent="0.3">
      <c r="A10" t="s">
        <v>88</v>
      </c>
      <c r="B10" t="s">
        <v>89</v>
      </c>
      <c r="C10" t="s">
        <v>90</v>
      </c>
      <c r="D10" t="s">
        <v>91</v>
      </c>
      <c r="E10" t="s">
        <v>22</v>
      </c>
      <c r="F10" t="s">
        <v>46</v>
      </c>
      <c r="G10" t="s">
        <v>36</v>
      </c>
      <c r="H10" t="s">
        <v>92</v>
      </c>
      <c r="I10" t="s">
        <v>78</v>
      </c>
      <c r="J10" t="s">
        <v>93</v>
      </c>
      <c r="K10" t="s">
        <v>94</v>
      </c>
      <c r="L10">
        <v>5</v>
      </c>
      <c r="M10">
        <v>437.22</v>
      </c>
      <c r="N10">
        <v>0</v>
      </c>
      <c r="O10">
        <v>2186.1</v>
      </c>
      <c r="P10">
        <v>290.60000000000002</v>
      </c>
      <c r="Q10" t="s">
        <v>41</v>
      </c>
      <c r="R10" t="s">
        <v>72</v>
      </c>
    </row>
    <row r="11" spans="1:18" x14ac:dyDescent="0.3">
      <c r="A11" t="s">
        <v>95</v>
      </c>
      <c r="B11" t="s">
        <v>96</v>
      </c>
      <c r="C11" t="s">
        <v>97</v>
      </c>
      <c r="D11" t="s">
        <v>91</v>
      </c>
      <c r="E11" t="s">
        <v>22</v>
      </c>
      <c r="F11" t="s">
        <v>67</v>
      </c>
      <c r="G11" t="s">
        <v>24</v>
      </c>
      <c r="H11" t="s">
        <v>25</v>
      </c>
      <c r="I11" t="s">
        <v>38</v>
      </c>
      <c r="J11" t="s">
        <v>39</v>
      </c>
      <c r="K11" t="s">
        <v>98</v>
      </c>
      <c r="L11">
        <v>5</v>
      </c>
      <c r="M11">
        <v>437.57</v>
      </c>
      <c r="N11">
        <v>0.05</v>
      </c>
      <c r="O11">
        <v>2078.46</v>
      </c>
      <c r="P11">
        <v>111.27</v>
      </c>
      <c r="Q11" t="s">
        <v>41</v>
      </c>
      <c r="R11" t="s">
        <v>62</v>
      </c>
    </row>
    <row r="12" spans="1:18" x14ac:dyDescent="0.3">
      <c r="A12" t="s">
        <v>99</v>
      </c>
      <c r="B12" t="s">
        <v>100</v>
      </c>
      <c r="C12" t="s">
        <v>101</v>
      </c>
      <c r="D12" t="s">
        <v>52</v>
      </c>
      <c r="E12" t="s">
        <v>35</v>
      </c>
      <c r="F12" t="s">
        <v>67</v>
      </c>
      <c r="G12" t="s">
        <v>24</v>
      </c>
      <c r="H12" t="s">
        <v>25</v>
      </c>
      <c r="I12" t="s">
        <v>26</v>
      </c>
      <c r="J12" t="s">
        <v>70</v>
      </c>
      <c r="K12" t="s">
        <v>86</v>
      </c>
      <c r="L12">
        <v>6</v>
      </c>
      <c r="M12">
        <v>223.96</v>
      </c>
      <c r="N12">
        <v>0</v>
      </c>
      <c r="O12">
        <v>1343.76</v>
      </c>
      <c r="P12">
        <v>332.43</v>
      </c>
      <c r="Q12" t="s">
        <v>29</v>
      </c>
      <c r="R12" t="s">
        <v>30</v>
      </c>
    </row>
    <row r="13" spans="1:18" x14ac:dyDescent="0.3">
      <c r="A13" t="s">
        <v>102</v>
      </c>
      <c r="B13" t="s">
        <v>103</v>
      </c>
      <c r="C13" t="s">
        <v>104</v>
      </c>
      <c r="D13" t="s">
        <v>91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>
        <v>3</v>
      </c>
      <c r="M13">
        <v>64.75</v>
      </c>
      <c r="N13">
        <v>0.15</v>
      </c>
      <c r="O13">
        <v>165.11</v>
      </c>
      <c r="P13">
        <v>42.19</v>
      </c>
      <c r="Q13" t="s">
        <v>55</v>
      </c>
      <c r="R13" t="s">
        <v>56</v>
      </c>
    </row>
    <row r="14" spans="1:18" x14ac:dyDescent="0.3">
      <c r="A14" t="s">
        <v>105</v>
      </c>
      <c r="B14" t="s">
        <v>106</v>
      </c>
      <c r="C14" t="s">
        <v>107</v>
      </c>
      <c r="D14" t="s">
        <v>21</v>
      </c>
      <c r="E14" t="s">
        <v>45</v>
      </c>
      <c r="F14" t="s">
        <v>53</v>
      </c>
      <c r="G14" t="s">
        <v>108</v>
      </c>
      <c r="H14" t="s">
        <v>109</v>
      </c>
      <c r="I14" t="s">
        <v>78</v>
      </c>
      <c r="J14" t="s">
        <v>93</v>
      </c>
      <c r="K14" t="s">
        <v>110</v>
      </c>
      <c r="L14">
        <v>8</v>
      </c>
      <c r="M14">
        <v>405.63</v>
      </c>
      <c r="N14">
        <v>0.15</v>
      </c>
      <c r="O14">
        <v>2758.28</v>
      </c>
      <c r="P14">
        <v>-342.96</v>
      </c>
      <c r="Q14" t="s">
        <v>55</v>
      </c>
      <c r="R14" t="s">
        <v>62</v>
      </c>
    </row>
    <row r="15" spans="1:18" x14ac:dyDescent="0.3">
      <c r="A15" t="s">
        <v>111</v>
      </c>
      <c r="B15" t="s">
        <v>112</v>
      </c>
      <c r="C15" t="s">
        <v>113</v>
      </c>
      <c r="D15" t="s">
        <v>52</v>
      </c>
      <c r="E15" t="s">
        <v>45</v>
      </c>
      <c r="F15" t="s">
        <v>114</v>
      </c>
      <c r="G15" t="s">
        <v>108</v>
      </c>
      <c r="H15" t="s">
        <v>115</v>
      </c>
      <c r="I15" t="s">
        <v>38</v>
      </c>
      <c r="J15" t="s">
        <v>60</v>
      </c>
      <c r="K15" t="s">
        <v>116</v>
      </c>
      <c r="L15">
        <v>1</v>
      </c>
      <c r="M15">
        <v>109.19</v>
      </c>
      <c r="N15">
        <v>0</v>
      </c>
      <c r="O15">
        <v>109.19</v>
      </c>
      <c r="P15">
        <v>23.52</v>
      </c>
      <c r="Q15" t="s">
        <v>55</v>
      </c>
      <c r="R15" t="s">
        <v>72</v>
      </c>
    </row>
    <row r="16" spans="1:18" x14ac:dyDescent="0.3">
      <c r="A16" t="s">
        <v>117</v>
      </c>
      <c r="B16" t="s">
        <v>118</v>
      </c>
      <c r="C16" t="s">
        <v>119</v>
      </c>
      <c r="D16" t="s">
        <v>120</v>
      </c>
      <c r="E16" t="s">
        <v>22</v>
      </c>
      <c r="F16" t="s">
        <v>53</v>
      </c>
      <c r="G16" t="s">
        <v>47</v>
      </c>
      <c r="H16" t="s">
        <v>121</v>
      </c>
      <c r="I16" t="s">
        <v>38</v>
      </c>
      <c r="J16" t="s">
        <v>39</v>
      </c>
      <c r="K16" t="s">
        <v>40</v>
      </c>
      <c r="L16">
        <v>2</v>
      </c>
      <c r="M16">
        <v>50.84</v>
      </c>
      <c r="N16">
        <v>0.15</v>
      </c>
      <c r="O16">
        <v>86.43</v>
      </c>
      <c r="P16">
        <v>-1.47</v>
      </c>
      <c r="Q16" t="s">
        <v>29</v>
      </c>
      <c r="R16" t="s">
        <v>30</v>
      </c>
    </row>
    <row r="17" spans="1:18" x14ac:dyDescent="0.3">
      <c r="A17" t="s">
        <v>122</v>
      </c>
      <c r="B17" t="s">
        <v>123</v>
      </c>
      <c r="C17" t="s">
        <v>124</v>
      </c>
      <c r="D17" t="s">
        <v>91</v>
      </c>
      <c r="E17" t="s">
        <v>45</v>
      </c>
      <c r="F17" t="s">
        <v>67</v>
      </c>
      <c r="G17" t="s">
        <v>24</v>
      </c>
      <c r="H17" t="s">
        <v>125</v>
      </c>
      <c r="I17" t="s">
        <v>78</v>
      </c>
      <c r="J17" t="s">
        <v>93</v>
      </c>
      <c r="K17" t="s">
        <v>94</v>
      </c>
      <c r="L17">
        <v>4</v>
      </c>
      <c r="M17">
        <v>92.07</v>
      </c>
      <c r="N17">
        <v>0.15</v>
      </c>
      <c r="O17">
        <v>313.04000000000002</v>
      </c>
      <c r="P17">
        <v>-36.159999999999997</v>
      </c>
      <c r="Q17" t="s">
        <v>87</v>
      </c>
      <c r="R17" t="s">
        <v>30</v>
      </c>
    </row>
    <row r="18" spans="1:18" x14ac:dyDescent="0.3">
      <c r="A18" t="s">
        <v>126</v>
      </c>
      <c r="B18" t="s">
        <v>127</v>
      </c>
      <c r="C18" t="s">
        <v>128</v>
      </c>
      <c r="D18" t="s">
        <v>120</v>
      </c>
      <c r="E18" t="s">
        <v>35</v>
      </c>
      <c r="F18" t="s">
        <v>23</v>
      </c>
      <c r="G18" t="s">
        <v>36</v>
      </c>
      <c r="H18" t="s">
        <v>54</v>
      </c>
      <c r="I18" t="s">
        <v>38</v>
      </c>
      <c r="J18" t="s">
        <v>60</v>
      </c>
      <c r="K18" t="s">
        <v>116</v>
      </c>
      <c r="L18">
        <v>2</v>
      </c>
      <c r="M18">
        <v>417.45</v>
      </c>
      <c r="N18">
        <v>0.05</v>
      </c>
      <c r="O18">
        <v>793.15</v>
      </c>
      <c r="P18">
        <v>-82.09</v>
      </c>
      <c r="Q18" t="s">
        <v>55</v>
      </c>
      <c r="R18" t="s">
        <v>72</v>
      </c>
    </row>
    <row r="19" spans="1:18" x14ac:dyDescent="0.3">
      <c r="A19" t="s">
        <v>129</v>
      </c>
      <c r="B19" t="s">
        <v>130</v>
      </c>
      <c r="C19" t="s">
        <v>82</v>
      </c>
      <c r="D19" t="s">
        <v>120</v>
      </c>
      <c r="E19" t="s">
        <v>35</v>
      </c>
      <c r="F19" t="s">
        <v>67</v>
      </c>
      <c r="G19" t="s">
        <v>84</v>
      </c>
      <c r="H19" t="s">
        <v>131</v>
      </c>
      <c r="I19" t="s">
        <v>38</v>
      </c>
      <c r="J19" t="s">
        <v>60</v>
      </c>
      <c r="K19" t="s">
        <v>132</v>
      </c>
      <c r="L19">
        <v>5</v>
      </c>
      <c r="M19">
        <v>194.97</v>
      </c>
      <c r="N19">
        <v>0.3</v>
      </c>
      <c r="O19">
        <v>682.39</v>
      </c>
      <c r="P19">
        <v>189.63</v>
      </c>
      <c r="Q19" t="s">
        <v>55</v>
      </c>
      <c r="R19" t="s">
        <v>30</v>
      </c>
    </row>
    <row r="20" spans="1:18" x14ac:dyDescent="0.3">
      <c r="A20" t="s">
        <v>133</v>
      </c>
      <c r="B20" t="s">
        <v>134</v>
      </c>
      <c r="C20" t="s">
        <v>135</v>
      </c>
      <c r="D20" t="s">
        <v>76</v>
      </c>
      <c r="E20" t="s">
        <v>35</v>
      </c>
      <c r="F20" t="s">
        <v>53</v>
      </c>
      <c r="G20" t="s">
        <v>24</v>
      </c>
      <c r="H20" t="s">
        <v>25</v>
      </c>
      <c r="I20" t="s">
        <v>26</v>
      </c>
      <c r="J20" t="s">
        <v>70</v>
      </c>
      <c r="K20" t="s">
        <v>71</v>
      </c>
      <c r="L20" t="s">
        <v>136</v>
      </c>
      <c r="M20">
        <v>33.270000000000003</v>
      </c>
      <c r="N20">
        <v>0.2</v>
      </c>
      <c r="O20">
        <v>159.69999999999999</v>
      </c>
      <c r="P20">
        <v>6.28</v>
      </c>
      <c r="Q20" t="s">
        <v>29</v>
      </c>
      <c r="R20" t="s">
        <v>30</v>
      </c>
    </row>
    <row r="21" spans="1:18" x14ac:dyDescent="0.3">
      <c r="A21" t="s">
        <v>137</v>
      </c>
      <c r="B21" t="s">
        <v>138</v>
      </c>
      <c r="C21" t="s">
        <v>33</v>
      </c>
      <c r="D21" t="s">
        <v>66</v>
      </c>
      <c r="E21" t="s">
        <v>45</v>
      </c>
      <c r="F21" t="s">
        <v>67</v>
      </c>
      <c r="G21" t="s">
        <v>47</v>
      </c>
      <c r="H21" t="s">
        <v>121</v>
      </c>
      <c r="I21" t="s">
        <v>26</v>
      </c>
      <c r="J21" t="s">
        <v>27</v>
      </c>
      <c r="K21" t="s">
        <v>139</v>
      </c>
      <c r="L21">
        <v>4</v>
      </c>
      <c r="M21">
        <v>263.88</v>
      </c>
      <c r="N21">
        <v>0</v>
      </c>
      <c r="O21">
        <v>1055.52</v>
      </c>
      <c r="P21">
        <v>110.74</v>
      </c>
      <c r="Q21" t="s">
        <v>41</v>
      </c>
      <c r="R21" t="s">
        <v>62</v>
      </c>
    </row>
    <row r="22" spans="1:18" x14ac:dyDescent="0.3">
      <c r="A22" t="s">
        <v>140</v>
      </c>
      <c r="B22" t="s">
        <v>141</v>
      </c>
      <c r="C22" t="s">
        <v>142</v>
      </c>
      <c r="D22" t="s">
        <v>21</v>
      </c>
      <c r="E22" t="s">
        <v>22</v>
      </c>
      <c r="F22" t="s">
        <v>67</v>
      </c>
      <c r="G22" t="s">
        <v>68</v>
      </c>
      <c r="H22" t="s">
        <v>77</v>
      </c>
      <c r="I22" t="s">
        <v>78</v>
      </c>
      <c r="J22" t="s">
        <v>79</v>
      </c>
      <c r="K22" t="s">
        <v>143</v>
      </c>
      <c r="L22">
        <v>5</v>
      </c>
      <c r="M22">
        <v>210.09</v>
      </c>
      <c r="N22">
        <v>0</v>
      </c>
      <c r="O22">
        <v>1050.45</v>
      </c>
      <c r="P22">
        <v>-184.58</v>
      </c>
      <c r="Q22" t="s">
        <v>41</v>
      </c>
      <c r="R22" t="s">
        <v>62</v>
      </c>
    </row>
    <row r="23" spans="1:18" x14ac:dyDescent="0.3">
      <c r="A23" t="s">
        <v>144</v>
      </c>
      <c r="B23" t="s">
        <v>145</v>
      </c>
      <c r="C23" t="s">
        <v>146</v>
      </c>
      <c r="D23" t="s">
        <v>147</v>
      </c>
      <c r="E23" t="s">
        <v>22</v>
      </c>
      <c r="F23" t="s">
        <v>46</v>
      </c>
      <c r="G23" t="s">
        <v>68</v>
      </c>
      <c r="H23" t="s">
        <v>69</v>
      </c>
      <c r="I23" t="s">
        <v>78</v>
      </c>
      <c r="J23" t="s">
        <v>79</v>
      </c>
      <c r="K23" t="s">
        <v>143</v>
      </c>
      <c r="L23">
        <v>5</v>
      </c>
      <c r="M23">
        <v>77.72</v>
      </c>
      <c r="N23">
        <v>0.2</v>
      </c>
      <c r="O23">
        <v>310.88</v>
      </c>
      <c r="P23">
        <v>44.65</v>
      </c>
      <c r="Q23" t="s">
        <v>29</v>
      </c>
      <c r="R23" t="s">
        <v>62</v>
      </c>
    </row>
    <row r="24" spans="1:18" x14ac:dyDescent="0.3">
      <c r="A24" t="s">
        <v>148</v>
      </c>
      <c r="B24" t="s">
        <v>149</v>
      </c>
      <c r="C24" t="s">
        <v>150</v>
      </c>
      <c r="D24" t="s">
        <v>52</v>
      </c>
      <c r="E24" t="s">
        <v>22</v>
      </c>
      <c r="G24" t="s">
        <v>24</v>
      </c>
      <c r="H24" t="s">
        <v>25</v>
      </c>
      <c r="I24" t="s">
        <v>78</v>
      </c>
      <c r="J24" t="s">
        <v>79</v>
      </c>
      <c r="K24" t="s">
        <v>143</v>
      </c>
      <c r="L24">
        <v>3</v>
      </c>
      <c r="M24">
        <v>128.38</v>
      </c>
      <c r="N24">
        <v>0.2</v>
      </c>
      <c r="O24">
        <v>308.11</v>
      </c>
      <c r="P24">
        <v>-25.61</v>
      </c>
      <c r="Q24" t="s">
        <v>87</v>
      </c>
      <c r="R24" t="s">
        <v>56</v>
      </c>
    </row>
    <row r="25" spans="1:18" x14ac:dyDescent="0.3">
      <c r="A25" t="s">
        <v>151</v>
      </c>
      <c r="B25" t="s">
        <v>152</v>
      </c>
      <c r="C25" t="s">
        <v>153</v>
      </c>
      <c r="D25" t="s">
        <v>76</v>
      </c>
      <c r="E25" t="s">
        <v>22</v>
      </c>
      <c r="F25" t="s">
        <v>23</v>
      </c>
      <c r="G25" t="s">
        <v>108</v>
      </c>
      <c r="H25" t="s">
        <v>109</v>
      </c>
      <c r="I25" t="s">
        <v>38</v>
      </c>
      <c r="J25" t="s">
        <v>60</v>
      </c>
      <c r="K25" t="s">
        <v>61</v>
      </c>
      <c r="L25">
        <v>5</v>
      </c>
      <c r="M25">
        <v>27.49</v>
      </c>
      <c r="N25">
        <v>0.1</v>
      </c>
      <c r="O25">
        <v>123.7</v>
      </c>
      <c r="P25">
        <v>21.61</v>
      </c>
      <c r="Q25" t="s">
        <v>87</v>
      </c>
      <c r="R25" t="s">
        <v>30</v>
      </c>
    </row>
    <row r="26" spans="1:18" x14ac:dyDescent="0.3">
      <c r="A26" t="s">
        <v>154</v>
      </c>
      <c r="B26" t="s">
        <v>155</v>
      </c>
      <c r="C26" t="s">
        <v>156</v>
      </c>
      <c r="D26" t="s">
        <v>76</v>
      </c>
      <c r="E26" t="s">
        <v>35</v>
      </c>
      <c r="F26" t="s">
        <v>46</v>
      </c>
      <c r="G26" t="s">
        <v>108</v>
      </c>
      <c r="H26" t="s">
        <v>157</v>
      </c>
      <c r="I26" t="s">
        <v>38</v>
      </c>
      <c r="J26" t="s">
        <v>60</v>
      </c>
      <c r="K26" t="s">
        <v>132</v>
      </c>
      <c r="L26">
        <v>1</v>
      </c>
      <c r="M26">
        <v>376.89</v>
      </c>
      <c r="N26">
        <v>0.2</v>
      </c>
      <c r="O26">
        <v>301.51</v>
      </c>
      <c r="P26">
        <v>22.36</v>
      </c>
      <c r="Q26" t="s">
        <v>29</v>
      </c>
      <c r="R26" t="s">
        <v>56</v>
      </c>
    </row>
    <row r="27" spans="1:18" x14ac:dyDescent="0.3">
      <c r="A27" t="s">
        <v>158</v>
      </c>
      <c r="B27" t="s">
        <v>159</v>
      </c>
      <c r="C27" t="s">
        <v>160</v>
      </c>
      <c r="D27" t="s">
        <v>76</v>
      </c>
      <c r="E27" t="s">
        <v>35</v>
      </c>
      <c r="F27" t="s">
        <v>67</v>
      </c>
      <c r="G27" t="s">
        <v>68</v>
      </c>
      <c r="H27" t="s">
        <v>77</v>
      </c>
      <c r="I27" t="s">
        <v>38</v>
      </c>
      <c r="J27" t="s">
        <v>39</v>
      </c>
      <c r="K27" t="s">
        <v>98</v>
      </c>
      <c r="L27">
        <v>2</v>
      </c>
      <c r="M27">
        <v>164.33</v>
      </c>
      <c r="N27">
        <v>0.2</v>
      </c>
      <c r="O27">
        <v>262.93</v>
      </c>
      <c r="P27">
        <v>59.61</v>
      </c>
      <c r="Q27" t="s">
        <v>87</v>
      </c>
      <c r="R27" t="s">
        <v>30</v>
      </c>
    </row>
    <row r="28" spans="1:18" x14ac:dyDescent="0.3">
      <c r="A28" t="s">
        <v>161</v>
      </c>
      <c r="B28" t="s">
        <v>162</v>
      </c>
      <c r="C28" t="s">
        <v>163</v>
      </c>
      <c r="D28" t="s">
        <v>120</v>
      </c>
      <c r="E28" t="s">
        <v>35</v>
      </c>
      <c r="F28" t="s">
        <v>67</v>
      </c>
      <c r="G28" t="s">
        <v>47</v>
      </c>
      <c r="H28" t="s">
        <v>164</v>
      </c>
      <c r="I28" t="s">
        <v>38</v>
      </c>
      <c r="J28" t="s">
        <v>39</v>
      </c>
      <c r="K28" t="s">
        <v>165</v>
      </c>
      <c r="L28">
        <v>4</v>
      </c>
      <c r="M28">
        <v>125.93</v>
      </c>
      <c r="N28">
        <v>0.3</v>
      </c>
      <c r="O28">
        <v>352.6</v>
      </c>
      <c r="P28">
        <v>-45.94</v>
      </c>
      <c r="Q28" t="s">
        <v>41</v>
      </c>
      <c r="R28" t="s">
        <v>56</v>
      </c>
    </row>
    <row r="29" spans="1:18" x14ac:dyDescent="0.3">
      <c r="A29" t="s">
        <v>166</v>
      </c>
      <c r="B29" t="s">
        <v>167</v>
      </c>
      <c r="C29" t="s">
        <v>168</v>
      </c>
      <c r="D29" t="s">
        <v>66</v>
      </c>
      <c r="E29" t="s">
        <v>22</v>
      </c>
      <c r="F29" t="s">
        <v>23</v>
      </c>
      <c r="G29" t="s">
        <v>24</v>
      </c>
      <c r="H29" t="s">
        <v>25</v>
      </c>
      <c r="I29" t="s">
        <v>38</v>
      </c>
      <c r="J29" t="s">
        <v>39</v>
      </c>
      <c r="K29" t="s">
        <v>40</v>
      </c>
      <c r="L29">
        <v>4</v>
      </c>
      <c r="M29">
        <v>184.12</v>
      </c>
      <c r="N29">
        <v>0.1</v>
      </c>
      <c r="O29">
        <v>662.83</v>
      </c>
      <c r="P29">
        <v>144.22999999999999</v>
      </c>
      <c r="Q29" t="s">
        <v>41</v>
      </c>
      <c r="R29" t="s">
        <v>30</v>
      </c>
    </row>
    <row r="30" spans="1:18" x14ac:dyDescent="0.3">
      <c r="A30" t="s">
        <v>169</v>
      </c>
      <c r="B30" t="s">
        <v>170</v>
      </c>
      <c r="C30" t="s">
        <v>171</v>
      </c>
      <c r="D30" t="s">
        <v>34</v>
      </c>
      <c r="E30" t="s">
        <v>22</v>
      </c>
      <c r="F30" t="s">
        <v>53</v>
      </c>
      <c r="G30" t="s">
        <v>68</v>
      </c>
      <c r="H30" t="s">
        <v>77</v>
      </c>
      <c r="I30" t="s">
        <v>38</v>
      </c>
      <c r="J30" t="s">
        <v>60</v>
      </c>
      <c r="K30" t="s">
        <v>132</v>
      </c>
      <c r="L30">
        <v>5</v>
      </c>
      <c r="M30">
        <v>24.91</v>
      </c>
      <c r="N30">
        <v>0.2</v>
      </c>
      <c r="O30">
        <v>99.64</v>
      </c>
      <c r="P30">
        <v>1.98</v>
      </c>
      <c r="Q30" t="s">
        <v>55</v>
      </c>
      <c r="R30" t="s">
        <v>56</v>
      </c>
    </row>
    <row r="31" spans="1:18" x14ac:dyDescent="0.3">
      <c r="A31" t="s">
        <v>172</v>
      </c>
      <c r="B31" t="s">
        <v>173</v>
      </c>
      <c r="C31" t="s">
        <v>174</v>
      </c>
      <c r="D31" t="s">
        <v>66</v>
      </c>
      <c r="E31" t="s">
        <v>22</v>
      </c>
      <c r="F31" t="s">
        <v>53</v>
      </c>
      <c r="G31" t="s">
        <v>47</v>
      </c>
      <c r="H31" t="s">
        <v>121</v>
      </c>
      <c r="I31" t="s">
        <v>38</v>
      </c>
      <c r="J31" t="s">
        <v>60</v>
      </c>
      <c r="K31" t="s">
        <v>61</v>
      </c>
      <c r="L31">
        <v>4</v>
      </c>
      <c r="M31" t="s">
        <v>175</v>
      </c>
      <c r="N31">
        <v>0</v>
      </c>
      <c r="O31">
        <v>675.96</v>
      </c>
      <c r="P31">
        <v>173.37</v>
      </c>
      <c r="Q31" t="s">
        <v>41</v>
      </c>
      <c r="R31" t="s">
        <v>56</v>
      </c>
    </row>
    <row r="32" spans="1:18" x14ac:dyDescent="0.3">
      <c r="A32" t="s">
        <v>176</v>
      </c>
      <c r="B32" t="s">
        <v>177</v>
      </c>
      <c r="C32" t="s">
        <v>178</v>
      </c>
      <c r="D32" t="s">
        <v>76</v>
      </c>
      <c r="E32" t="s">
        <v>22</v>
      </c>
      <c r="F32" t="s">
        <v>46</v>
      </c>
      <c r="G32" t="s">
        <v>84</v>
      </c>
      <c r="H32" t="s">
        <v>131</v>
      </c>
      <c r="I32" t="s">
        <v>26</v>
      </c>
      <c r="J32" t="s">
        <v>27</v>
      </c>
      <c r="K32" t="s">
        <v>179</v>
      </c>
      <c r="L32">
        <v>5</v>
      </c>
      <c r="M32">
        <v>253.05</v>
      </c>
      <c r="N32">
        <v>0.05</v>
      </c>
      <c r="O32">
        <v>1201.99</v>
      </c>
      <c r="P32">
        <v>16.11</v>
      </c>
      <c r="Q32" t="s">
        <v>29</v>
      </c>
      <c r="R32" t="s">
        <v>56</v>
      </c>
    </row>
    <row r="33" spans="1:18" x14ac:dyDescent="0.3">
      <c r="A33" t="s">
        <v>180</v>
      </c>
      <c r="B33" t="s">
        <v>181</v>
      </c>
      <c r="C33" t="s">
        <v>182</v>
      </c>
      <c r="D33" t="s">
        <v>120</v>
      </c>
      <c r="E33" t="s">
        <v>22</v>
      </c>
      <c r="F33" t="s">
        <v>67</v>
      </c>
      <c r="G33" t="s">
        <v>47</v>
      </c>
      <c r="H33" t="s">
        <v>164</v>
      </c>
      <c r="I33" t="s">
        <v>78</v>
      </c>
      <c r="J33" t="s">
        <v>79</v>
      </c>
      <c r="K33" t="s">
        <v>143</v>
      </c>
      <c r="L33">
        <v>6</v>
      </c>
      <c r="M33">
        <v>213.52</v>
      </c>
      <c r="N33">
        <v>0.15</v>
      </c>
      <c r="O33">
        <v>1088.95</v>
      </c>
      <c r="P33">
        <v>142.41999999999999</v>
      </c>
      <c r="Q33" t="s">
        <v>29</v>
      </c>
      <c r="R33" t="s">
        <v>56</v>
      </c>
    </row>
    <row r="34" spans="1:18" x14ac:dyDescent="0.3">
      <c r="A34" t="s">
        <v>183</v>
      </c>
      <c r="B34" t="s">
        <v>184</v>
      </c>
      <c r="C34" t="s">
        <v>185</v>
      </c>
      <c r="D34" t="s">
        <v>52</v>
      </c>
      <c r="E34" t="s">
        <v>35</v>
      </c>
      <c r="F34" t="s">
        <v>53</v>
      </c>
      <c r="G34" t="s">
        <v>108</v>
      </c>
      <c r="H34" t="s">
        <v>115</v>
      </c>
      <c r="I34" t="s">
        <v>26</v>
      </c>
      <c r="J34" t="s">
        <v>70</v>
      </c>
      <c r="K34" t="s">
        <v>71</v>
      </c>
      <c r="L34">
        <v>6</v>
      </c>
      <c r="M34">
        <v>49.28</v>
      </c>
      <c r="N34">
        <v>0.05</v>
      </c>
      <c r="O34">
        <v>280.89999999999998</v>
      </c>
      <c r="P34">
        <v>36.369999999999997</v>
      </c>
      <c r="Q34" t="s">
        <v>55</v>
      </c>
      <c r="R34" t="s">
        <v>72</v>
      </c>
    </row>
    <row r="35" spans="1:18" x14ac:dyDescent="0.3">
      <c r="A35" t="s">
        <v>186</v>
      </c>
      <c r="B35" t="s">
        <v>113</v>
      </c>
      <c r="C35" t="s">
        <v>187</v>
      </c>
      <c r="D35" t="s">
        <v>76</v>
      </c>
      <c r="E35" t="s">
        <v>22</v>
      </c>
      <c r="F35" t="s">
        <v>53</v>
      </c>
      <c r="G35" t="s">
        <v>47</v>
      </c>
      <c r="H35" t="s">
        <v>48</v>
      </c>
      <c r="I35" t="s">
        <v>26</v>
      </c>
      <c r="J35" t="s">
        <v>70</v>
      </c>
      <c r="K35" t="s">
        <v>71</v>
      </c>
      <c r="L35">
        <v>4</v>
      </c>
      <c r="M35">
        <v>325.51</v>
      </c>
      <c r="N35">
        <v>0.15</v>
      </c>
      <c r="O35">
        <v>1106.73</v>
      </c>
      <c r="P35">
        <v>52.47</v>
      </c>
      <c r="Q35" t="s">
        <v>87</v>
      </c>
      <c r="R35" t="s">
        <v>62</v>
      </c>
    </row>
    <row r="36" spans="1:18" x14ac:dyDescent="0.3">
      <c r="A36" t="s">
        <v>188</v>
      </c>
      <c r="B36" t="s">
        <v>189</v>
      </c>
      <c r="C36" t="s">
        <v>190</v>
      </c>
      <c r="D36" t="s">
        <v>66</v>
      </c>
      <c r="E36" t="s">
        <v>45</v>
      </c>
      <c r="F36" t="s">
        <v>23</v>
      </c>
      <c r="G36" t="s">
        <v>36</v>
      </c>
      <c r="H36" t="s">
        <v>92</v>
      </c>
      <c r="I36" t="s">
        <v>38</v>
      </c>
      <c r="J36" t="s">
        <v>39</v>
      </c>
      <c r="K36" t="s">
        <v>40</v>
      </c>
      <c r="L36">
        <v>1</v>
      </c>
      <c r="M36">
        <v>254.37</v>
      </c>
      <c r="N36">
        <v>0</v>
      </c>
      <c r="O36">
        <v>254.37</v>
      </c>
      <c r="P36">
        <v>7.62</v>
      </c>
      <c r="Q36" t="s">
        <v>87</v>
      </c>
      <c r="R36" t="s">
        <v>62</v>
      </c>
    </row>
    <row r="37" spans="1:18" x14ac:dyDescent="0.3">
      <c r="A37" t="s">
        <v>191</v>
      </c>
      <c r="B37" t="s">
        <v>192</v>
      </c>
      <c r="C37" t="s">
        <v>193</v>
      </c>
      <c r="D37" t="s">
        <v>120</v>
      </c>
      <c r="E37" t="s">
        <v>22</v>
      </c>
      <c r="F37" t="s">
        <v>67</v>
      </c>
      <c r="G37" t="s">
        <v>47</v>
      </c>
      <c r="H37" t="s">
        <v>48</v>
      </c>
      <c r="I37" t="s">
        <v>26</v>
      </c>
      <c r="J37" t="s">
        <v>27</v>
      </c>
      <c r="K37" t="s">
        <v>179</v>
      </c>
      <c r="L37">
        <v>4</v>
      </c>
      <c r="M37">
        <v>379.22</v>
      </c>
      <c r="N37">
        <v>0.1</v>
      </c>
      <c r="O37">
        <v>1365.19</v>
      </c>
      <c r="P37">
        <v>235.19</v>
      </c>
      <c r="Q37" t="s">
        <v>87</v>
      </c>
      <c r="R37" t="s">
        <v>30</v>
      </c>
    </row>
    <row r="38" spans="1:18" x14ac:dyDescent="0.3">
      <c r="A38" t="s">
        <v>194</v>
      </c>
      <c r="B38" t="s">
        <v>195</v>
      </c>
      <c r="C38" t="s">
        <v>196</v>
      </c>
      <c r="D38" t="s">
        <v>52</v>
      </c>
      <c r="E38" t="s">
        <v>45</v>
      </c>
      <c r="F38" t="s">
        <v>67</v>
      </c>
      <c r="G38" t="s">
        <v>68</v>
      </c>
      <c r="H38" t="s">
        <v>69</v>
      </c>
      <c r="I38" t="s">
        <v>197</v>
      </c>
      <c r="J38" t="s">
        <v>27</v>
      </c>
      <c r="K38" t="s">
        <v>139</v>
      </c>
      <c r="L38">
        <v>6</v>
      </c>
      <c r="M38">
        <v>149.31</v>
      </c>
      <c r="N38">
        <v>0.2</v>
      </c>
      <c r="O38">
        <v>716.69</v>
      </c>
      <c r="P38">
        <v>-102.44</v>
      </c>
      <c r="Q38" t="s">
        <v>55</v>
      </c>
      <c r="R38" t="s">
        <v>30</v>
      </c>
    </row>
    <row r="39" spans="1:18" x14ac:dyDescent="0.3">
      <c r="A39" t="s">
        <v>198</v>
      </c>
      <c r="B39" t="s">
        <v>199</v>
      </c>
      <c r="C39" t="s">
        <v>200</v>
      </c>
      <c r="D39" t="s">
        <v>147</v>
      </c>
      <c r="E39" t="s">
        <v>22</v>
      </c>
      <c r="F39" t="s">
        <v>23</v>
      </c>
      <c r="G39" t="s">
        <v>84</v>
      </c>
      <c r="H39" t="s">
        <v>201</v>
      </c>
      <c r="I39" t="s">
        <v>78</v>
      </c>
      <c r="J39" t="s">
        <v>93</v>
      </c>
      <c r="K39" t="s">
        <v>202</v>
      </c>
      <c r="L39">
        <v>8</v>
      </c>
      <c r="M39">
        <v>191.77</v>
      </c>
      <c r="N39">
        <v>0.05</v>
      </c>
      <c r="O39">
        <v>1457.45</v>
      </c>
      <c r="P39">
        <v>296.05</v>
      </c>
      <c r="Q39" t="s">
        <v>29</v>
      </c>
      <c r="R39" t="s">
        <v>56</v>
      </c>
    </row>
    <row r="40" spans="1:18" x14ac:dyDescent="0.3">
      <c r="A40" t="s">
        <v>203</v>
      </c>
      <c r="B40" t="s">
        <v>130</v>
      </c>
      <c r="C40" t="s">
        <v>204</v>
      </c>
      <c r="D40" t="s">
        <v>34</v>
      </c>
      <c r="E40" t="s">
        <v>45</v>
      </c>
      <c r="F40" t="s">
        <v>23</v>
      </c>
      <c r="G40" t="s">
        <v>47</v>
      </c>
      <c r="H40" t="s">
        <v>164</v>
      </c>
      <c r="I40" t="s">
        <v>78</v>
      </c>
      <c r="J40" t="s">
        <v>79</v>
      </c>
      <c r="K40" t="s">
        <v>143</v>
      </c>
      <c r="L40">
        <v>4</v>
      </c>
      <c r="M40">
        <v>223.8</v>
      </c>
      <c r="N40">
        <v>0.1</v>
      </c>
      <c r="O40">
        <v>805.68</v>
      </c>
      <c r="P40">
        <v>16.5</v>
      </c>
      <c r="Q40" t="s">
        <v>55</v>
      </c>
      <c r="R40" t="s">
        <v>72</v>
      </c>
    </row>
    <row r="41" spans="1:18" x14ac:dyDescent="0.3">
      <c r="A41" t="s">
        <v>205</v>
      </c>
      <c r="B41" t="s">
        <v>206</v>
      </c>
      <c r="C41" t="s">
        <v>207</v>
      </c>
      <c r="D41" t="s">
        <v>76</v>
      </c>
      <c r="E41" t="s">
        <v>45</v>
      </c>
      <c r="F41" t="s">
        <v>67</v>
      </c>
      <c r="G41" t="s">
        <v>36</v>
      </c>
      <c r="H41" t="s">
        <v>54</v>
      </c>
      <c r="I41" t="s">
        <v>38</v>
      </c>
      <c r="J41" t="s">
        <v>39</v>
      </c>
      <c r="K41" t="s">
        <v>98</v>
      </c>
      <c r="L41">
        <v>7</v>
      </c>
      <c r="M41">
        <v>269.62</v>
      </c>
      <c r="N41">
        <v>0.3</v>
      </c>
      <c r="O41">
        <v>1321.14</v>
      </c>
      <c r="P41">
        <v>-221.33</v>
      </c>
      <c r="Q41" t="s">
        <v>41</v>
      </c>
      <c r="R41" t="s">
        <v>72</v>
      </c>
    </row>
    <row r="42" spans="1:18" x14ac:dyDescent="0.3">
      <c r="A42" t="s">
        <v>208</v>
      </c>
      <c r="B42" t="s">
        <v>209</v>
      </c>
      <c r="C42" t="s">
        <v>210</v>
      </c>
      <c r="D42" t="s">
        <v>91</v>
      </c>
      <c r="E42" t="s">
        <v>35</v>
      </c>
      <c r="F42" t="s">
        <v>23</v>
      </c>
      <c r="G42" t="s">
        <v>47</v>
      </c>
      <c r="H42" t="s">
        <v>48</v>
      </c>
      <c r="I42" t="s">
        <v>78</v>
      </c>
      <c r="J42" t="s">
        <v>79</v>
      </c>
      <c r="K42" t="s">
        <v>80</v>
      </c>
      <c r="L42">
        <v>6</v>
      </c>
      <c r="M42">
        <v>344.46</v>
      </c>
      <c r="N42">
        <v>0.15</v>
      </c>
      <c r="O42">
        <v>1756.75</v>
      </c>
      <c r="P42">
        <v>-91.35</v>
      </c>
      <c r="Q42" t="s">
        <v>29</v>
      </c>
      <c r="R42" t="s">
        <v>56</v>
      </c>
    </row>
    <row r="43" spans="1:18" x14ac:dyDescent="0.3">
      <c r="A43" t="s">
        <v>211</v>
      </c>
      <c r="B43" t="s">
        <v>212</v>
      </c>
      <c r="D43" t="s">
        <v>76</v>
      </c>
      <c r="E43" t="s">
        <v>35</v>
      </c>
      <c r="F43" t="s">
        <v>67</v>
      </c>
      <c r="G43" t="s">
        <v>24</v>
      </c>
      <c r="H43" t="s">
        <v>25</v>
      </c>
      <c r="I43" t="s">
        <v>38</v>
      </c>
      <c r="J43" t="s">
        <v>39</v>
      </c>
      <c r="K43" t="s">
        <v>165</v>
      </c>
      <c r="L43">
        <v>1</v>
      </c>
      <c r="M43">
        <v>341.37</v>
      </c>
      <c r="N43">
        <v>0.05</v>
      </c>
      <c r="O43">
        <v>324.3</v>
      </c>
      <c r="P43">
        <v>-28.63</v>
      </c>
      <c r="Q43" t="s">
        <v>29</v>
      </c>
      <c r="R43" t="s">
        <v>62</v>
      </c>
    </row>
    <row r="44" spans="1:18" x14ac:dyDescent="0.3">
      <c r="A44" t="s">
        <v>213</v>
      </c>
      <c r="B44" t="s">
        <v>214</v>
      </c>
      <c r="C44" t="s">
        <v>215</v>
      </c>
      <c r="D44" t="s">
        <v>91</v>
      </c>
      <c r="E44" t="s">
        <v>35</v>
      </c>
      <c r="F44" t="s">
        <v>53</v>
      </c>
      <c r="G44" t="s">
        <v>84</v>
      </c>
      <c r="H44" t="s">
        <v>131</v>
      </c>
      <c r="I44" t="s">
        <v>78</v>
      </c>
      <c r="J44" t="s">
        <v>93</v>
      </c>
      <c r="K44" t="s">
        <v>202</v>
      </c>
      <c r="L44">
        <v>3</v>
      </c>
      <c r="M44">
        <v>275.8</v>
      </c>
      <c r="N44">
        <v>0.3</v>
      </c>
      <c r="O44">
        <v>579.17999999999995</v>
      </c>
      <c r="P44">
        <v>87.13</v>
      </c>
      <c r="Q44" t="s">
        <v>87</v>
      </c>
      <c r="R44" t="s">
        <v>72</v>
      </c>
    </row>
    <row r="45" spans="1:18" x14ac:dyDescent="0.3">
      <c r="A45" t="s">
        <v>216</v>
      </c>
      <c r="B45" t="s">
        <v>217</v>
      </c>
      <c r="C45" t="s">
        <v>218</v>
      </c>
      <c r="D45" t="s">
        <v>147</v>
      </c>
      <c r="E45" t="s">
        <v>45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139</v>
      </c>
      <c r="L45">
        <v>4</v>
      </c>
      <c r="M45">
        <v>53.04</v>
      </c>
      <c r="N45">
        <v>0.1</v>
      </c>
      <c r="O45">
        <v>190.94</v>
      </c>
      <c r="P45">
        <v>40.31</v>
      </c>
      <c r="Q45" t="s">
        <v>41</v>
      </c>
      <c r="R45" t="s">
        <v>30</v>
      </c>
    </row>
    <row r="46" spans="1:18" x14ac:dyDescent="0.3">
      <c r="A46" t="s">
        <v>219</v>
      </c>
      <c r="B46" t="s">
        <v>220</v>
      </c>
      <c r="C46" t="s">
        <v>221</v>
      </c>
      <c r="D46" t="s">
        <v>120</v>
      </c>
      <c r="E46" t="s">
        <v>22</v>
      </c>
      <c r="F46" t="s">
        <v>67</v>
      </c>
      <c r="G46" t="s">
        <v>84</v>
      </c>
      <c r="H46" t="s">
        <v>85</v>
      </c>
      <c r="I46" t="s">
        <v>26</v>
      </c>
      <c r="J46" t="s">
        <v>70</v>
      </c>
      <c r="K46" t="s">
        <v>222</v>
      </c>
      <c r="L46">
        <v>7</v>
      </c>
      <c r="M46">
        <v>371.47</v>
      </c>
      <c r="N46">
        <v>0</v>
      </c>
      <c r="O46">
        <v>2600.29</v>
      </c>
      <c r="P46">
        <v>50.5</v>
      </c>
      <c r="Q46" t="s">
        <v>55</v>
      </c>
      <c r="R46" t="s">
        <v>56</v>
      </c>
    </row>
    <row r="47" spans="1:18" x14ac:dyDescent="0.3">
      <c r="A47" t="s">
        <v>223</v>
      </c>
      <c r="B47" t="s">
        <v>224</v>
      </c>
      <c r="C47" t="s">
        <v>134</v>
      </c>
      <c r="D47" t="s">
        <v>21</v>
      </c>
      <c r="E47" t="s">
        <v>45</v>
      </c>
      <c r="F47" t="s">
        <v>23</v>
      </c>
      <c r="G47" t="s">
        <v>47</v>
      </c>
      <c r="H47" t="s">
        <v>48</v>
      </c>
      <c r="I47" t="s">
        <v>26</v>
      </c>
      <c r="J47" t="s">
        <v>70</v>
      </c>
      <c r="K47" t="s">
        <v>71</v>
      </c>
      <c r="L47">
        <v>7</v>
      </c>
      <c r="M47">
        <v>372.97</v>
      </c>
      <c r="N47">
        <v>0.2</v>
      </c>
      <c r="O47">
        <v>2088.63</v>
      </c>
      <c r="P47">
        <v>-118.09</v>
      </c>
      <c r="Q47" t="s">
        <v>87</v>
      </c>
      <c r="R47" t="s">
        <v>72</v>
      </c>
    </row>
    <row r="48" spans="1:18" x14ac:dyDescent="0.3">
      <c r="A48" t="s">
        <v>225</v>
      </c>
      <c r="B48" t="s">
        <v>226</v>
      </c>
      <c r="C48" t="s">
        <v>227</v>
      </c>
      <c r="D48" t="s">
        <v>91</v>
      </c>
      <c r="E48" t="s">
        <v>22</v>
      </c>
      <c r="F48" t="s">
        <v>46</v>
      </c>
      <c r="G48" t="s">
        <v>47</v>
      </c>
      <c r="H48" t="s">
        <v>48</v>
      </c>
      <c r="I48" t="s">
        <v>78</v>
      </c>
      <c r="J48" t="s">
        <v>79</v>
      </c>
      <c r="K48" t="s">
        <v>143</v>
      </c>
      <c r="L48">
        <v>3</v>
      </c>
      <c r="M48">
        <v>223.5</v>
      </c>
      <c r="N48">
        <v>0.1</v>
      </c>
      <c r="O48">
        <v>603.45000000000005</v>
      </c>
      <c r="P48">
        <v>112.85</v>
      </c>
      <c r="Q48" t="s">
        <v>29</v>
      </c>
      <c r="R48" t="s">
        <v>62</v>
      </c>
    </row>
    <row r="49" spans="1:18" x14ac:dyDescent="0.3">
      <c r="A49" t="s">
        <v>228</v>
      </c>
      <c r="B49" t="s">
        <v>33</v>
      </c>
      <c r="C49" t="s">
        <v>229</v>
      </c>
      <c r="D49" t="s">
        <v>120</v>
      </c>
      <c r="E49" t="s">
        <v>35</v>
      </c>
      <c r="F49" t="s">
        <v>53</v>
      </c>
      <c r="G49" t="s">
        <v>108</v>
      </c>
      <c r="H49" t="s">
        <v>109</v>
      </c>
      <c r="I49" t="s">
        <v>38</v>
      </c>
      <c r="J49" t="s">
        <v>60</v>
      </c>
      <c r="K49" t="s">
        <v>132</v>
      </c>
      <c r="L49">
        <v>8</v>
      </c>
      <c r="M49">
        <v>253.39</v>
      </c>
      <c r="N49">
        <v>0.05</v>
      </c>
      <c r="O49">
        <v>1925.76</v>
      </c>
      <c r="P49">
        <v>265.14</v>
      </c>
      <c r="Q49" t="s">
        <v>55</v>
      </c>
      <c r="R49" t="s">
        <v>72</v>
      </c>
    </row>
    <row r="50" spans="1:18" x14ac:dyDescent="0.3">
      <c r="A50" t="s">
        <v>230</v>
      </c>
      <c r="B50" t="s">
        <v>231</v>
      </c>
      <c r="C50" t="s">
        <v>232</v>
      </c>
      <c r="D50" t="s">
        <v>66</v>
      </c>
      <c r="E50" t="s">
        <v>45</v>
      </c>
      <c r="F50" t="s">
        <v>23</v>
      </c>
      <c r="G50" t="s">
        <v>84</v>
      </c>
      <c r="H50" t="s">
        <v>201</v>
      </c>
      <c r="I50" t="s">
        <v>26</v>
      </c>
      <c r="J50" t="s">
        <v>27</v>
      </c>
      <c r="K50" t="s">
        <v>179</v>
      </c>
      <c r="L50">
        <v>6</v>
      </c>
      <c r="M50">
        <v>217.18</v>
      </c>
      <c r="N50">
        <v>0.2</v>
      </c>
      <c r="O50">
        <v>1042.46</v>
      </c>
      <c r="P50">
        <v>-22.8</v>
      </c>
      <c r="Q50" t="s">
        <v>41</v>
      </c>
      <c r="R50" t="s">
        <v>56</v>
      </c>
    </row>
    <row r="51" spans="1:18" x14ac:dyDescent="0.3">
      <c r="A51" t="s">
        <v>233</v>
      </c>
      <c r="B51" t="s">
        <v>20</v>
      </c>
      <c r="C51" t="s">
        <v>234</v>
      </c>
      <c r="D51" t="s">
        <v>52</v>
      </c>
      <c r="E51" t="s">
        <v>35</v>
      </c>
      <c r="F51" t="s">
        <v>23</v>
      </c>
      <c r="G51" t="s">
        <v>108</v>
      </c>
      <c r="H51" t="s">
        <v>157</v>
      </c>
      <c r="I51" t="s">
        <v>38</v>
      </c>
      <c r="J51" t="s">
        <v>39</v>
      </c>
      <c r="K51" t="s">
        <v>165</v>
      </c>
      <c r="L51">
        <v>6</v>
      </c>
      <c r="M51">
        <v>60.84</v>
      </c>
      <c r="N51">
        <v>0.2</v>
      </c>
      <c r="O51">
        <v>292.02999999999997</v>
      </c>
      <c r="P51">
        <v>75.17</v>
      </c>
      <c r="Q51" t="s">
        <v>41</v>
      </c>
      <c r="R51" t="s">
        <v>30</v>
      </c>
    </row>
    <row r="52" spans="1:18" x14ac:dyDescent="0.3">
      <c r="A52" t="s">
        <v>235</v>
      </c>
      <c r="B52" t="s">
        <v>236</v>
      </c>
      <c r="C52" t="s">
        <v>237</v>
      </c>
      <c r="D52" t="s">
        <v>147</v>
      </c>
      <c r="E52" t="s">
        <v>35</v>
      </c>
      <c r="F52" t="s">
        <v>46</v>
      </c>
      <c r="G52" t="s">
        <v>68</v>
      </c>
      <c r="H52" t="s">
        <v>69</v>
      </c>
      <c r="I52" t="s">
        <v>38</v>
      </c>
      <c r="J52" t="s">
        <v>39</v>
      </c>
      <c r="K52" t="s">
        <v>40</v>
      </c>
      <c r="L52">
        <v>3</v>
      </c>
      <c r="M52">
        <v>141.6</v>
      </c>
      <c r="N52">
        <v>0.3</v>
      </c>
      <c r="O52">
        <v>297.36</v>
      </c>
      <c r="P52">
        <v>19.54</v>
      </c>
      <c r="Q52" t="s">
        <v>55</v>
      </c>
      <c r="R52" t="s">
        <v>72</v>
      </c>
    </row>
    <row r="53" spans="1:18" x14ac:dyDescent="0.3">
      <c r="A53" t="s">
        <v>238</v>
      </c>
      <c r="B53" t="s">
        <v>239</v>
      </c>
      <c r="C53" t="s">
        <v>240</v>
      </c>
      <c r="D53" t="s">
        <v>91</v>
      </c>
      <c r="E53" t="s">
        <v>45</v>
      </c>
      <c r="F53" t="s">
        <v>53</v>
      </c>
      <c r="G53" t="s">
        <v>36</v>
      </c>
      <c r="H53" t="s">
        <v>92</v>
      </c>
      <c r="I53" t="s">
        <v>38</v>
      </c>
      <c r="J53" t="s">
        <v>60</v>
      </c>
      <c r="K53" t="s">
        <v>116</v>
      </c>
      <c r="L53">
        <v>8</v>
      </c>
      <c r="M53">
        <v>219.59</v>
      </c>
      <c r="N53">
        <v>0.1</v>
      </c>
      <c r="O53">
        <v>1581.05</v>
      </c>
      <c r="P53">
        <v>-150.5</v>
      </c>
      <c r="Q53" t="s">
        <v>87</v>
      </c>
      <c r="R53" t="s">
        <v>72</v>
      </c>
    </row>
    <row r="54" spans="1:18" x14ac:dyDescent="0.3">
      <c r="A54" t="s">
        <v>241</v>
      </c>
      <c r="B54" t="s">
        <v>242</v>
      </c>
      <c r="C54" t="s">
        <v>243</v>
      </c>
      <c r="D54" t="s">
        <v>52</v>
      </c>
      <c r="E54" t="s">
        <v>35</v>
      </c>
      <c r="F54" t="s">
        <v>23</v>
      </c>
      <c r="G54" t="s">
        <v>108</v>
      </c>
      <c r="H54" t="s">
        <v>115</v>
      </c>
      <c r="I54" t="s">
        <v>38</v>
      </c>
      <c r="J54" t="s">
        <v>60</v>
      </c>
      <c r="K54" t="s">
        <v>61</v>
      </c>
      <c r="L54">
        <v>1</v>
      </c>
      <c r="M54">
        <v>75.06</v>
      </c>
      <c r="N54">
        <v>0.2</v>
      </c>
      <c r="O54">
        <v>60.05</v>
      </c>
      <c r="P54">
        <v>15.41</v>
      </c>
      <c r="Q54" t="s">
        <v>55</v>
      </c>
      <c r="R54" t="s">
        <v>72</v>
      </c>
    </row>
    <row r="55" spans="1:18" x14ac:dyDescent="0.3">
      <c r="A55" t="s">
        <v>244</v>
      </c>
      <c r="B55" t="s">
        <v>245</v>
      </c>
      <c r="C55" t="s">
        <v>246</v>
      </c>
      <c r="D55" t="s">
        <v>52</v>
      </c>
      <c r="E55" t="s">
        <v>22</v>
      </c>
      <c r="F55" t="s">
        <v>67</v>
      </c>
      <c r="G55" t="s">
        <v>84</v>
      </c>
      <c r="H55" t="s">
        <v>201</v>
      </c>
      <c r="I55" t="s">
        <v>78</v>
      </c>
      <c r="J55" t="s">
        <v>93</v>
      </c>
      <c r="K55" t="s">
        <v>202</v>
      </c>
      <c r="L55">
        <v>7</v>
      </c>
      <c r="M55">
        <v>142.97999999999999</v>
      </c>
      <c r="N55">
        <v>0.2</v>
      </c>
      <c r="O55">
        <v>800.69</v>
      </c>
      <c r="P55">
        <v>-121.94</v>
      </c>
      <c r="Q55" t="s">
        <v>29</v>
      </c>
      <c r="R55" t="s">
        <v>62</v>
      </c>
    </row>
    <row r="56" spans="1:18" x14ac:dyDescent="0.3">
      <c r="A56" t="s">
        <v>247</v>
      </c>
      <c r="B56" t="s">
        <v>248</v>
      </c>
      <c r="C56" t="s">
        <v>249</v>
      </c>
      <c r="D56" t="s">
        <v>91</v>
      </c>
      <c r="E56" t="s">
        <v>35</v>
      </c>
      <c r="F56" t="s">
        <v>67</v>
      </c>
      <c r="G56" t="s">
        <v>36</v>
      </c>
      <c r="H56" t="s">
        <v>54</v>
      </c>
      <c r="I56" t="s">
        <v>38</v>
      </c>
      <c r="J56" t="s">
        <v>39</v>
      </c>
      <c r="K56" t="s">
        <v>165</v>
      </c>
      <c r="L56">
        <v>3</v>
      </c>
      <c r="M56">
        <v>9.18</v>
      </c>
      <c r="N56">
        <v>0.15</v>
      </c>
      <c r="O56">
        <v>23.41</v>
      </c>
      <c r="P56">
        <v>3.21</v>
      </c>
      <c r="Q56" t="s">
        <v>41</v>
      </c>
      <c r="R56" t="s">
        <v>72</v>
      </c>
    </row>
    <row r="57" spans="1:18" x14ac:dyDescent="0.3">
      <c r="A57" t="s">
        <v>250</v>
      </c>
      <c r="B57" t="s">
        <v>251</v>
      </c>
      <c r="C57" t="s">
        <v>252</v>
      </c>
      <c r="D57" t="s">
        <v>91</v>
      </c>
      <c r="E57" t="s">
        <v>35</v>
      </c>
      <c r="F57" t="s">
        <v>53</v>
      </c>
      <c r="G57" t="s">
        <v>68</v>
      </c>
      <c r="H57" t="s">
        <v>69</v>
      </c>
      <c r="I57" t="s">
        <v>38</v>
      </c>
      <c r="J57" t="s">
        <v>60</v>
      </c>
      <c r="K57" t="s">
        <v>116</v>
      </c>
      <c r="L57">
        <v>4</v>
      </c>
      <c r="M57">
        <v>195.91</v>
      </c>
      <c r="N57">
        <v>0.2</v>
      </c>
      <c r="O57">
        <v>626.91</v>
      </c>
      <c r="P57">
        <v>-48.01</v>
      </c>
      <c r="Q57" t="s">
        <v>55</v>
      </c>
      <c r="R57" t="s">
        <v>56</v>
      </c>
    </row>
    <row r="58" spans="1:18" x14ac:dyDescent="0.3">
      <c r="A58" t="s">
        <v>253</v>
      </c>
      <c r="B58" t="s">
        <v>254</v>
      </c>
      <c r="C58" t="s">
        <v>255</v>
      </c>
      <c r="D58" t="s">
        <v>120</v>
      </c>
      <c r="E58" t="s">
        <v>45</v>
      </c>
      <c r="F58" t="s">
        <v>53</v>
      </c>
      <c r="G58" t="s">
        <v>84</v>
      </c>
      <c r="H58" t="s">
        <v>131</v>
      </c>
      <c r="I58" t="s">
        <v>26</v>
      </c>
      <c r="J58" t="s">
        <v>70</v>
      </c>
      <c r="K58" t="s">
        <v>86</v>
      </c>
      <c r="L58">
        <v>2</v>
      </c>
      <c r="M58">
        <v>215.16</v>
      </c>
      <c r="N58">
        <v>0.1</v>
      </c>
      <c r="O58">
        <v>387.29</v>
      </c>
      <c r="P58">
        <v>54.95</v>
      </c>
      <c r="Q58" t="s">
        <v>29</v>
      </c>
      <c r="R58" t="s">
        <v>72</v>
      </c>
    </row>
    <row r="59" spans="1:18" x14ac:dyDescent="0.3">
      <c r="A59" t="s">
        <v>256</v>
      </c>
      <c r="B59" t="s">
        <v>257</v>
      </c>
      <c r="C59" t="s">
        <v>258</v>
      </c>
      <c r="D59" t="s">
        <v>91</v>
      </c>
      <c r="E59" t="s">
        <v>22</v>
      </c>
      <c r="F59" t="s">
        <v>53</v>
      </c>
      <c r="G59" t="s">
        <v>36</v>
      </c>
      <c r="H59" t="s">
        <v>92</v>
      </c>
      <c r="I59" t="s">
        <v>26</v>
      </c>
      <c r="J59" t="s">
        <v>27</v>
      </c>
      <c r="K59" t="s">
        <v>28</v>
      </c>
      <c r="L59">
        <v>1</v>
      </c>
      <c r="M59">
        <v>48.37</v>
      </c>
      <c r="N59">
        <v>0.3</v>
      </c>
      <c r="O59">
        <v>33.86</v>
      </c>
      <c r="P59">
        <v>6.93</v>
      </c>
      <c r="Q59" t="s">
        <v>259</v>
      </c>
      <c r="R59" t="s">
        <v>72</v>
      </c>
    </row>
    <row r="60" spans="1:18" x14ac:dyDescent="0.3">
      <c r="A60" t="s">
        <v>260</v>
      </c>
      <c r="B60" t="s">
        <v>249</v>
      </c>
      <c r="C60" t="s">
        <v>261</v>
      </c>
      <c r="D60" t="s">
        <v>66</v>
      </c>
      <c r="E60" t="s">
        <v>22</v>
      </c>
      <c r="F60" t="s">
        <v>53</v>
      </c>
      <c r="G60" t="s">
        <v>36</v>
      </c>
      <c r="H60" t="s">
        <v>92</v>
      </c>
      <c r="I60" t="s">
        <v>78</v>
      </c>
      <c r="J60" t="s">
        <v>79</v>
      </c>
      <c r="K60" t="s">
        <v>80</v>
      </c>
      <c r="L60">
        <v>8</v>
      </c>
      <c r="M60">
        <v>436.32</v>
      </c>
      <c r="N60">
        <v>0.15</v>
      </c>
      <c r="O60">
        <v>2966.98</v>
      </c>
      <c r="P60">
        <v>-59.16</v>
      </c>
      <c r="Q60" t="s">
        <v>41</v>
      </c>
      <c r="R60" t="s">
        <v>72</v>
      </c>
    </row>
    <row r="61" spans="1:18" x14ac:dyDescent="0.3">
      <c r="A61" t="s">
        <v>262</v>
      </c>
      <c r="B61" t="s">
        <v>263</v>
      </c>
      <c r="C61" t="s">
        <v>264</v>
      </c>
      <c r="D61" t="s">
        <v>66</v>
      </c>
      <c r="E61" t="s">
        <v>45</v>
      </c>
      <c r="F61" t="s">
        <v>46</v>
      </c>
      <c r="G61" t="s">
        <v>84</v>
      </c>
      <c r="H61" t="s">
        <v>201</v>
      </c>
      <c r="I61" t="s">
        <v>26</v>
      </c>
      <c r="J61" t="s">
        <v>27</v>
      </c>
      <c r="K61" t="s">
        <v>28</v>
      </c>
      <c r="L61">
        <v>7</v>
      </c>
      <c r="M61">
        <v>367.6</v>
      </c>
      <c r="N61">
        <v>0.2</v>
      </c>
      <c r="O61">
        <v>2058.56</v>
      </c>
      <c r="P61">
        <v>-335.79</v>
      </c>
      <c r="Q61" t="s">
        <v>87</v>
      </c>
      <c r="R61" t="s">
        <v>30</v>
      </c>
    </row>
    <row r="62" spans="1:18" x14ac:dyDescent="0.3">
      <c r="A62" t="s">
        <v>265</v>
      </c>
      <c r="B62" t="s">
        <v>134</v>
      </c>
      <c r="C62" t="s">
        <v>266</v>
      </c>
      <c r="D62" t="s">
        <v>120</v>
      </c>
      <c r="E62" t="s">
        <v>35</v>
      </c>
      <c r="F62" t="s">
        <v>67</v>
      </c>
      <c r="G62" t="s">
        <v>47</v>
      </c>
      <c r="H62" t="s">
        <v>48</v>
      </c>
      <c r="I62" t="s">
        <v>26</v>
      </c>
      <c r="J62" t="s">
        <v>27</v>
      </c>
      <c r="K62" t="s">
        <v>179</v>
      </c>
      <c r="L62">
        <v>1</v>
      </c>
      <c r="M62">
        <v>90.91</v>
      </c>
      <c r="N62">
        <v>0.1</v>
      </c>
      <c r="O62">
        <v>81.819999999999993</v>
      </c>
      <c r="P62">
        <v>8.7100000000000009</v>
      </c>
      <c r="Q62" t="s">
        <v>55</v>
      </c>
      <c r="R62" t="s">
        <v>56</v>
      </c>
    </row>
    <row r="63" spans="1:18" x14ac:dyDescent="0.3">
      <c r="A63" t="s">
        <v>267</v>
      </c>
      <c r="B63" t="s">
        <v>268</v>
      </c>
      <c r="C63" t="s">
        <v>269</v>
      </c>
      <c r="D63" t="s">
        <v>91</v>
      </c>
      <c r="E63" t="s">
        <v>22</v>
      </c>
      <c r="F63" t="s">
        <v>53</v>
      </c>
      <c r="G63" t="s">
        <v>47</v>
      </c>
      <c r="H63" t="s">
        <v>121</v>
      </c>
      <c r="I63" t="s">
        <v>78</v>
      </c>
      <c r="J63" t="s">
        <v>93</v>
      </c>
      <c r="K63" t="s">
        <v>110</v>
      </c>
      <c r="L63">
        <v>1</v>
      </c>
      <c r="M63">
        <v>438.13</v>
      </c>
      <c r="N63">
        <v>0.2</v>
      </c>
      <c r="O63">
        <v>350.5</v>
      </c>
      <c r="P63">
        <v>65.78</v>
      </c>
      <c r="Q63" t="s">
        <v>87</v>
      </c>
      <c r="R63" t="s">
        <v>30</v>
      </c>
    </row>
    <row r="64" spans="1:18" x14ac:dyDescent="0.3">
      <c r="A64" t="s">
        <v>270</v>
      </c>
      <c r="B64" t="s">
        <v>271</v>
      </c>
      <c r="C64" t="s">
        <v>272</v>
      </c>
      <c r="D64" t="s">
        <v>34</v>
      </c>
      <c r="E64" t="s">
        <v>45</v>
      </c>
      <c r="F64" t="s">
        <v>23</v>
      </c>
      <c r="G64" t="s">
        <v>47</v>
      </c>
      <c r="H64" t="s">
        <v>121</v>
      </c>
      <c r="I64" t="s">
        <v>38</v>
      </c>
      <c r="J64" t="s">
        <v>39</v>
      </c>
      <c r="K64" t="s">
        <v>98</v>
      </c>
      <c r="L64">
        <v>3</v>
      </c>
      <c r="M64">
        <v>228.28</v>
      </c>
      <c r="N64">
        <v>0.3</v>
      </c>
      <c r="O64">
        <v>479.39</v>
      </c>
      <c r="P64">
        <v>-21.93</v>
      </c>
      <c r="Q64" t="s">
        <v>87</v>
      </c>
      <c r="R64" t="s">
        <v>62</v>
      </c>
    </row>
    <row r="65" spans="1:18" x14ac:dyDescent="0.3">
      <c r="A65" t="s">
        <v>273</v>
      </c>
      <c r="B65" t="s">
        <v>274</v>
      </c>
      <c r="C65" t="s">
        <v>275</v>
      </c>
      <c r="D65" t="s">
        <v>66</v>
      </c>
      <c r="E65" t="s">
        <v>22</v>
      </c>
      <c r="F65" t="s">
        <v>46</v>
      </c>
      <c r="G65" t="s">
        <v>36</v>
      </c>
      <c r="H65" t="s">
        <v>37</v>
      </c>
      <c r="I65" t="s">
        <v>78</v>
      </c>
      <c r="J65" t="s">
        <v>93</v>
      </c>
      <c r="K65" t="s">
        <v>94</v>
      </c>
      <c r="L65">
        <v>3</v>
      </c>
      <c r="M65">
        <v>389.9</v>
      </c>
      <c r="N65">
        <v>0.1</v>
      </c>
      <c r="O65">
        <v>1052.73</v>
      </c>
      <c r="P65">
        <v>184.68</v>
      </c>
      <c r="Q65" t="s">
        <v>41</v>
      </c>
      <c r="R65" t="s">
        <v>56</v>
      </c>
    </row>
    <row r="66" spans="1:18" x14ac:dyDescent="0.3">
      <c r="A66" t="s">
        <v>276</v>
      </c>
      <c r="B66" t="s">
        <v>277</v>
      </c>
      <c r="C66" t="s">
        <v>278</v>
      </c>
      <c r="D66" t="s">
        <v>34</v>
      </c>
      <c r="E66" t="s">
        <v>45</v>
      </c>
      <c r="F66" t="s">
        <v>46</v>
      </c>
      <c r="G66" t="s">
        <v>108</v>
      </c>
      <c r="H66" t="s">
        <v>109</v>
      </c>
      <c r="I66" t="s">
        <v>26</v>
      </c>
      <c r="J66" t="s">
        <v>70</v>
      </c>
      <c r="K66" t="s">
        <v>71</v>
      </c>
      <c r="L66">
        <v>3</v>
      </c>
      <c r="M66">
        <v>205.37</v>
      </c>
      <c r="N66">
        <v>0.15</v>
      </c>
      <c r="P66">
        <v>-11.12</v>
      </c>
      <c r="Q66" t="s">
        <v>55</v>
      </c>
      <c r="R66" t="s">
        <v>72</v>
      </c>
    </row>
    <row r="67" spans="1:18" x14ac:dyDescent="0.3">
      <c r="A67" t="s">
        <v>279</v>
      </c>
      <c r="B67" t="s">
        <v>280</v>
      </c>
      <c r="C67" t="s">
        <v>281</v>
      </c>
      <c r="D67" t="s">
        <v>120</v>
      </c>
      <c r="E67" t="s">
        <v>35</v>
      </c>
      <c r="F67" t="s">
        <v>67</v>
      </c>
      <c r="G67" t="s">
        <v>24</v>
      </c>
      <c r="H67" t="s">
        <v>59</v>
      </c>
      <c r="I67" t="s">
        <v>38</v>
      </c>
      <c r="J67" t="s">
        <v>39</v>
      </c>
      <c r="K67" t="s">
        <v>40</v>
      </c>
      <c r="L67">
        <v>8</v>
      </c>
      <c r="M67">
        <v>319.70999999999998</v>
      </c>
      <c r="N67">
        <v>0.15</v>
      </c>
      <c r="O67">
        <v>2174.0300000000002</v>
      </c>
      <c r="P67">
        <v>-5.23</v>
      </c>
      <c r="Q67" t="s">
        <v>41</v>
      </c>
      <c r="R67" t="s">
        <v>30</v>
      </c>
    </row>
    <row r="68" spans="1:18" x14ac:dyDescent="0.3">
      <c r="A68" t="s">
        <v>282</v>
      </c>
      <c r="B68" t="s">
        <v>283</v>
      </c>
      <c r="C68" t="s">
        <v>284</v>
      </c>
      <c r="D68" t="s">
        <v>21</v>
      </c>
      <c r="E68" t="s">
        <v>45</v>
      </c>
      <c r="F68" t="s">
        <v>46</v>
      </c>
      <c r="G68" t="s">
        <v>36</v>
      </c>
      <c r="H68" t="s">
        <v>92</v>
      </c>
      <c r="I68" t="s">
        <v>78</v>
      </c>
      <c r="J68" t="s">
        <v>93</v>
      </c>
      <c r="K68" t="s">
        <v>202</v>
      </c>
      <c r="L68">
        <v>1</v>
      </c>
      <c r="M68">
        <v>327.32</v>
      </c>
      <c r="N68">
        <v>0.15</v>
      </c>
      <c r="O68">
        <v>278.22000000000003</v>
      </c>
      <c r="P68">
        <v>61.38</v>
      </c>
      <c r="Q68" t="s">
        <v>87</v>
      </c>
      <c r="R68" t="s">
        <v>30</v>
      </c>
    </row>
    <row r="69" spans="1:18" x14ac:dyDescent="0.3">
      <c r="A69" t="s">
        <v>285</v>
      </c>
      <c r="B69" t="s">
        <v>286</v>
      </c>
      <c r="C69" t="s">
        <v>107</v>
      </c>
      <c r="D69" t="s">
        <v>21</v>
      </c>
      <c r="E69" t="s">
        <v>35</v>
      </c>
      <c r="F69" t="s">
        <v>46</v>
      </c>
      <c r="G69" t="s">
        <v>36</v>
      </c>
      <c r="H69" t="s">
        <v>92</v>
      </c>
      <c r="I69" t="s">
        <v>78</v>
      </c>
      <c r="J69" t="s">
        <v>79</v>
      </c>
      <c r="K69" t="s">
        <v>80</v>
      </c>
      <c r="L69">
        <v>6</v>
      </c>
      <c r="M69">
        <v>285.05</v>
      </c>
      <c r="N69">
        <v>0.15</v>
      </c>
      <c r="O69">
        <v>1453.76</v>
      </c>
      <c r="P69">
        <v>321.70999999999998</v>
      </c>
      <c r="Q69" t="s">
        <v>29</v>
      </c>
      <c r="R69" t="s">
        <v>72</v>
      </c>
    </row>
    <row r="70" spans="1:18" x14ac:dyDescent="0.3">
      <c r="A70" t="s">
        <v>287</v>
      </c>
      <c r="B70" t="s">
        <v>288</v>
      </c>
      <c r="C70" t="s">
        <v>289</v>
      </c>
      <c r="D70" t="s">
        <v>66</v>
      </c>
      <c r="E70" t="s">
        <v>35</v>
      </c>
      <c r="F70" t="s">
        <v>46</v>
      </c>
      <c r="G70" t="s">
        <v>108</v>
      </c>
      <c r="H70" t="s">
        <v>157</v>
      </c>
      <c r="I70" t="s">
        <v>38</v>
      </c>
      <c r="J70" t="s">
        <v>60</v>
      </c>
      <c r="K70" t="s">
        <v>132</v>
      </c>
      <c r="L70">
        <v>8</v>
      </c>
      <c r="M70">
        <v>81.53</v>
      </c>
      <c r="N70">
        <v>0.1</v>
      </c>
      <c r="O70">
        <v>587.02</v>
      </c>
      <c r="P70">
        <v>138.29</v>
      </c>
      <c r="Q70" t="s">
        <v>41</v>
      </c>
      <c r="R70" t="s">
        <v>72</v>
      </c>
    </row>
    <row r="71" spans="1:18" x14ac:dyDescent="0.3">
      <c r="A71" t="s">
        <v>290</v>
      </c>
      <c r="B71" t="s">
        <v>64</v>
      </c>
      <c r="C71" t="s">
        <v>291</v>
      </c>
      <c r="D71" t="s">
        <v>52</v>
      </c>
      <c r="E71" t="s">
        <v>45</v>
      </c>
      <c r="F71" t="s">
        <v>67</v>
      </c>
      <c r="G71" t="s">
        <v>36</v>
      </c>
      <c r="H71" t="s">
        <v>92</v>
      </c>
      <c r="I71" t="s">
        <v>38</v>
      </c>
      <c r="J71" t="s">
        <v>39</v>
      </c>
      <c r="K71" t="s">
        <v>98</v>
      </c>
      <c r="L71">
        <v>3</v>
      </c>
      <c r="M71">
        <v>83.13</v>
      </c>
      <c r="N71">
        <v>0</v>
      </c>
      <c r="O71">
        <v>249.39</v>
      </c>
      <c r="P71">
        <v>25.03</v>
      </c>
      <c r="Q71" t="s">
        <v>87</v>
      </c>
      <c r="R71" t="s">
        <v>56</v>
      </c>
    </row>
    <row r="72" spans="1:18" x14ac:dyDescent="0.3">
      <c r="A72" t="s">
        <v>292</v>
      </c>
      <c r="B72" t="s">
        <v>293</v>
      </c>
      <c r="C72" t="s">
        <v>294</v>
      </c>
      <c r="D72" t="s">
        <v>120</v>
      </c>
      <c r="E72" t="s">
        <v>45</v>
      </c>
      <c r="F72" t="s">
        <v>46</v>
      </c>
      <c r="G72" t="s">
        <v>108</v>
      </c>
      <c r="H72" t="s">
        <v>157</v>
      </c>
      <c r="I72" t="s">
        <v>78</v>
      </c>
      <c r="J72" t="s">
        <v>93</v>
      </c>
      <c r="K72" t="s">
        <v>110</v>
      </c>
      <c r="L72">
        <v>8</v>
      </c>
      <c r="M72">
        <v>406.33</v>
      </c>
      <c r="N72">
        <v>0.3</v>
      </c>
      <c r="O72">
        <v>2275.4499999999998</v>
      </c>
      <c r="P72">
        <v>162.55000000000001</v>
      </c>
      <c r="Q72" t="s">
        <v>87</v>
      </c>
      <c r="R72" t="s">
        <v>56</v>
      </c>
    </row>
    <row r="73" spans="1:18" x14ac:dyDescent="0.3">
      <c r="A73" t="s">
        <v>295</v>
      </c>
      <c r="B73" t="s">
        <v>296</v>
      </c>
      <c r="C73" t="s">
        <v>297</v>
      </c>
      <c r="D73" t="s">
        <v>91</v>
      </c>
      <c r="E73" t="s">
        <v>35</v>
      </c>
      <c r="F73" t="s">
        <v>23</v>
      </c>
      <c r="G73" t="s">
        <v>68</v>
      </c>
      <c r="H73" t="s">
        <v>69</v>
      </c>
      <c r="I73" t="s">
        <v>78</v>
      </c>
      <c r="J73" t="s">
        <v>93</v>
      </c>
      <c r="K73" t="s">
        <v>202</v>
      </c>
      <c r="L73">
        <v>8</v>
      </c>
      <c r="M73">
        <v>55.14</v>
      </c>
      <c r="N73">
        <v>0.15</v>
      </c>
      <c r="O73">
        <v>374.95</v>
      </c>
      <c r="P73">
        <v>31.15</v>
      </c>
      <c r="Q73" t="s">
        <v>29</v>
      </c>
      <c r="R73" t="s">
        <v>30</v>
      </c>
    </row>
    <row r="74" spans="1:18" x14ac:dyDescent="0.3">
      <c r="A74" t="s">
        <v>298</v>
      </c>
      <c r="B74" t="s">
        <v>299</v>
      </c>
      <c r="C74" t="s">
        <v>300</v>
      </c>
      <c r="D74" t="s">
        <v>21</v>
      </c>
      <c r="E74" t="s">
        <v>22</v>
      </c>
      <c r="F74" t="s">
        <v>53</v>
      </c>
      <c r="G74" t="s">
        <v>84</v>
      </c>
      <c r="H74" t="s">
        <v>85</v>
      </c>
      <c r="I74" t="s">
        <v>26</v>
      </c>
      <c r="J74" t="s">
        <v>70</v>
      </c>
      <c r="K74" t="s">
        <v>222</v>
      </c>
      <c r="L74">
        <v>6</v>
      </c>
      <c r="M74">
        <v>104.8</v>
      </c>
      <c r="N74">
        <v>0.05</v>
      </c>
      <c r="O74">
        <v>597.36</v>
      </c>
      <c r="P74">
        <v>63.09</v>
      </c>
      <c r="Q74" t="s">
        <v>87</v>
      </c>
      <c r="R74" t="s">
        <v>30</v>
      </c>
    </row>
    <row r="75" spans="1:18" x14ac:dyDescent="0.3">
      <c r="A75" t="s">
        <v>301</v>
      </c>
      <c r="B75" t="s">
        <v>302</v>
      </c>
      <c r="C75" t="s">
        <v>303</v>
      </c>
      <c r="D75" t="s">
        <v>52</v>
      </c>
      <c r="E75" t="s">
        <v>35</v>
      </c>
      <c r="F75" t="s">
        <v>46</v>
      </c>
      <c r="G75" t="s">
        <v>108</v>
      </c>
      <c r="H75" t="s">
        <v>157</v>
      </c>
      <c r="I75" t="s">
        <v>26</v>
      </c>
      <c r="J75" t="s">
        <v>70</v>
      </c>
      <c r="K75" t="s">
        <v>86</v>
      </c>
      <c r="L75">
        <v>2</v>
      </c>
      <c r="M75">
        <v>410.06</v>
      </c>
      <c r="N75">
        <v>0.1</v>
      </c>
      <c r="O75">
        <v>738.11</v>
      </c>
      <c r="P75">
        <v>120.93</v>
      </c>
      <c r="Q75" t="s">
        <v>41</v>
      </c>
      <c r="R75" t="s">
        <v>62</v>
      </c>
    </row>
    <row r="76" spans="1:18" x14ac:dyDescent="0.3">
      <c r="A76" t="s">
        <v>304</v>
      </c>
      <c r="B76" t="s">
        <v>305</v>
      </c>
      <c r="C76" t="s">
        <v>306</v>
      </c>
      <c r="D76" t="s">
        <v>52</v>
      </c>
      <c r="E76" t="s">
        <v>22</v>
      </c>
      <c r="F76" t="s">
        <v>23</v>
      </c>
      <c r="G76" t="s">
        <v>84</v>
      </c>
      <c r="H76" t="s">
        <v>201</v>
      </c>
      <c r="I76" t="s">
        <v>78</v>
      </c>
      <c r="J76" t="s">
        <v>79</v>
      </c>
      <c r="K76" t="s">
        <v>143</v>
      </c>
      <c r="L76">
        <v>6</v>
      </c>
      <c r="M76">
        <v>363.47</v>
      </c>
      <c r="N76">
        <v>0.15</v>
      </c>
      <c r="O76">
        <v>1853.7</v>
      </c>
      <c r="P76">
        <v>487.4</v>
      </c>
      <c r="Q76" t="s">
        <v>41</v>
      </c>
      <c r="R76" t="s">
        <v>30</v>
      </c>
    </row>
    <row r="77" spans="1:18" x14ac:dyDescent="0.3">
      <c r="A77" t="s">
        <v>307</v>
      </c>
      <c r="B77" t="s">
        <v>308</v>
      </c>
      <c r="C77" t="s">
        <v>309</v>
      </c>
      <c r="D77" t="s">
        <v>34</v>
      </c>
      <c r="E77" t="s">
        <v>22</v>
      </c>
      <c r="F77" t="s">
        <v>46</v>
      </c>
      <c r="G77" t="s">
        <v>84</v>
      </c>
      <c r="H77" t="s">
        <v>201</v>
      </c>
      <c r="I77" t="s">
        <v>78</v>
      </c>
      <c r="J77" t="s">
        <v>93</v>
      </c>
      <c r="K77" t="s">
        <v>94</v>
      </c>
      <c r="L77">
        <v>2</v>
      </c>
      <c r="M77">
        <v>209.02</v>
      </c>
      <c r="N77" t="s">
        <v>310</v>
      </c>
      <c r="O77">
        <v>292.63</v>
      </c>
      <c r="P77">
        <v>48.15</v>
      </c>
      <c r="Q77" t="s">
        <v>55</v>
      </c>
      <c r="R77" t="s">
        <v>72</v>
      </c>
    </row>
    <row r="78" spans="1:18" x14ac:dyDescent="0.3">
      <c r="A78" t="s">
        <v>311</v>
      </c>
      <c r="B78" t="s">
        <v>312</v>
      </c>
      <c r="C78" t="s">
        <v>313</v>
      </c>
      <c r="D78" t="s">
        <v>34</v>
      </c>
      <c r="E78" t="s">
        <v>35</v>
      </c>
      <c r="F78" t="s">
        <v>67</v>
      </c>
      <c r="G78" t="s">
        <v>36</v>
      </c>
      <c r="H78" t="s">
        <v>92</v>
      </c>
      <c r="I78" t="s">
        <v>38</v>
      </c>
      <c r="J78" t="s">
        <v>60</v>
      </c>
      <c r="K78" t="s">
        <v>116</v>
      </c>
      <c r="L78">
        <v>4</v>
      </c>
      <c r="M78">
        <v>294.26</v>
      </c>
      <c r="N78">
        <v>0.3</v>
      </c>
      <c r="O78">
        <v>823.93</v>
      </c>
      <c r="P78">
        <v>163.94</v>
      </c>
      <c r="Q78" t="s">
        <v>29</v>
      </c>
      <c r="R78" t="s">
        <v>56</v>
      </c>
    </row>
    <row r="79" spans="1:18" x14ac:dyDescent="0.3">
      <c r="A79" t="s">
        <v>314</v>
      </c>
      <c r="B79" t="s">
        <v>149</v>
      </c>
      <c r="C79" t="s">
        <v>315</v>
      </c>
      <c r="D79" t="s">
        <v>34</v>
      </c>
      <c r="E79" t="s">
        <v>22</v>
      </c>
      <c r="F79" t="s">
        <v>67</v>
      </c>
      <c r="G79" t="s">
        <v>24</v>
      </c>
      <c r="H79" t="s">
        <v>125</v>
      </c>
      <c r="I79" t="s">
        <v>78</v>
      </c>
      <c r="J79" t="s">
        <v>93</v>
      </c>
      <c r="K79" t="s">
        <v>202</v>
      </c>
      <c r="L79">
        <v>3</v>
      </c>
      <c r="M79">
        <v>179.78</v>
      </c>
      <c r="N79">
        <v>0.1</v>
      </c>
      <c r="O79">
        <v>485.41</v>
      </c>
      <c r="P79">
        <v>62.34</v>
      </c>
      <c r="Q79" t="s">
        <v>29</v>
      </c>
      <c r="R79" t="s">
        <v>72</v>
      </c>
    </row>
    <row r="80" spans="1:18" x14ac:dyDescent="0.3">
      <c r="A80" t="s">
        <v>316</v>
      </c>
      <c r="B80" t="s">
        <v>199</v>
      </c>
      <c r="C80" t="s">
        <v>281</v>
      </c>
      <c r="D80" t="s">
        <v>21</v>
      </c>
      <c r="E80" t="s">
        <v>22</v>
      </c>
      <c r="F80" t="s">
        <v>46</v>
      </c>
      <c r="G80" t="s">
        <v>84</v>
      </c>
      <c r="H80" t="s">
        <v>85</v>
      </c>
      <c r="I80" t="s">
        <v>26</v>
      </c>
      <c r="J80" t="s">
        <v>70</v>
      </c>
      <c r="K80" t="s">
        <v>86</v>
      </c>
      <c r="L80">
        <v>6</v>
      </c>
      <c r="M80">
        <v>104.03</v>
      </c>
      <c r="N80">
        <v>0.15</v>
      </c>
      <c r="O80">
        <v>530.54999999999995</v>
      </c>
      <c r="P80">
        <v>136.49</v>
      </c>
      <c r="Q80" t="s">
        <v>41</v>
      </c>
      <c r="R80" t="s">
        <v>30</v>
      </c>
    </row>
    <row r="81" spans="1:18" x14ac:dyDescent="0.3">
      <c r="A81" t="s">
        <v>317</v>
      </c>
      <c r="B81" t="s">
        <v>318</v>
      </c>
      <c r="C81" t="s">
        <v>319</v>
      </c>
      <c r="D81" t="s">
        <v>147</v>
      </c>
      <c r="E81" t="s">
        <v>45</v>
      </c>
      <c r="F81" t="s">
        <v>67</v>
      </c>
      <c r="G81" t="s">
        <v>68</v>
      </c>
      <c r="H81" t="s">
        <v>320</v>
      </c>
      <c r="I81" t="s">
        <v>78</v>
      </c>
      <c r="J81" t="s">
        <v>93</v>
      </c>
      <c r="K81" t="s">
        <v>94</v>
      </c>
      <c r="L81">
        <v>8</v>
      </c>
      <c r="M81">
        <v>48.52</v>
      </c>
      <c r="N81">
        <v>0.05</v>
      </c>
      <c r="O81">
        <v>368.75</v>
      </c>
      <c r="P81">
        <v>42.47</v>
      </c>
      <c r="Q81" t="s">
        <v>55</v>
      </c>
      <c r="R81" t="s">
        <v>30</v>
      </c>
    </row>
    <row r="82" spans="1:18" x14ac:dyDescent="0.3">
      <c r="A82" t="s">
        <v>321</v>
      </c>
      <c r="B82" t="s">
        <v>322</v>
      </c>
      <c r="C82" t="s">
        <v>323</v>
      </c>
      <c r="D82" t="s">
        <v>91</v>
      </c>
      <c r="E82" t="s">
        <v>35</v>
      </c>
      <c r="F82" t="s">
        <v>67</v>
      </c>
      <c r="G82" t="s">
        <v>36</v>
      </c>
      <c r="H82" t="s">
        <v>54</v>
      </c>
      <c r="I82" t="s">
        <v>26</v>
      </c>
      <c r="J82" t="s">
        <v>70</v>
      </c>
      <c r="K82" t="s">
        <v>86</v>
      </c>
      <c r="L82">
        <v>4</v>
      </c>
      <c r="M82">
        <v>153.22</v>
      </c>
      <c r="N82">
        <v>0.05</v>
      </c>
      <c r="O82">
        <v>582.24</v>
      </c>
      <c r="P82">
        <v>106.42</v>
      </c>
      <c r="Q82" t="s">
        <v>41</v>
      </c>
      <c r="R82" t="s">
        <v>62</v>
      </c>
    </row>
    <row r="83" spans="1:18" x14ac:dyDescent="0.3">
      <c r="A83" t="s">
        <v>324</v>
      </c>
      <c r="B83" t="s">
        <v>325</v>
      </c>
      <c r="C83" t="s">
        <v>326</v>
      </c>
      <c r="D83" t="s">
        <v>76</v>
      </c>
      <c r="E83" t="s">
        <v>45</v>
      </c>
      <c r="F83" t="s">
        <v>53</v>
      </c>
      <c r="G83" t="s">
        <v>24</v>
      </c>
      <c r="H83" t="s">
        <v>125</v>
      </c>
      <c r="I83" t="s">
        <v>38</v>
      </c>
      <c r="J83" t="s">
        <v>60</v>
      </c>
      <c r="K83" t="s">
        <v>116</v>
      </c>
      <c r="L83">
        <v>1</v>
      </c>
      <c r="M83">
        <v>166.34</v>
      </c>
      <c r="N83">
        <v>0.05</v>
      </c>
      <c r="O83">
        <v>158.02000000000001</v>
      </c>
      <c r="P83">
        <v>14.36</v>
      </c>
      <c r="Q83" t="s">
        <v>87</v>
      </c>
      <c r="R83" t="s">
        <v>30</v>
      </c>
    </row>
    <row r="84" spans="1:18" x14ac:dyDescent="0.3">
      <c r="A84" t="s">
        <v>327</v>
      </c>
      <c r="B84" t="s">
        <v>328</v>
      </c>
      <c r="C84" t="s">
        <v>329</v>
      </c>
      <c r="D84" t="s">
        <v>147</v>
      </c>
      <c r="E84" t="s">
        <v>22</v>
      </c>
      <c r="F84" t="s">
        <v>46</v>
      </c>
      <c r="G84" t="s">
        <v>47</v>
      </c>
      <c r="H84" t="s">
        <v>48</v>
      </c>
      <c r="I84" t="s">
        <v>26</v>
      </c>
      <c r="J84" t="s">
        <v>27</v>
      </c>
      <c r="K84" t="s">
        <v>179</v>
      </c>
      <c r="L84">
        <v>6</v>
      </c>
      <c r="M84">
        <v>234.85</v>
      </c>
      <c r="N84">
        <v>0</v>
      </c>
      <c r="O84">
        <v>1409.1</v>
      </c>
      <c r="P84">
        <v>39.35</v>
      </c>
      <c r="Q84" t="s">
        <v>29</v>
      </c>
      <c r="R84" t="s">
        <v>30</v>
      </c>
    </row>
    <row r="85" spans="1:18" x14ac:dyDescent="0.3">
      <c r="A85" t="s">
        <v>330</v>
      </c>
      <c r="B85" t="s">
        <v>331</v>
      </c>
      <c r="C85" t="s">
        <v>332</v>
      </c>
      <c r="D85" t="s">
        <v>66</v>
      </c>
      <c r="E85" t="s">
        <v>22</v>
      </c>
      <c r="F85" t="s">
        <v>67</v>
      </c>
      <c r="G85" t="s">
        <v>47</v>
      </c>
      <c r="H85" t="s">
        <v>164</v>
      </c>
      <c r="I85" t="s">
        <v>78</v>
      </c>
      <c r="J85" t="s">
        <v>93</v>
      </c>
      <c r="K85" t="s">
        <v>94</v>
      </c>
      <c r="L85">
        <v>2</v>
      </c>
      <c r="M85">
        <v>224.7</v>
      </c>
      <c r="N85">
        <v>0.15</v>
      </c>
      <c r="O85">
        <v>381.99</v>
      </c>
      <c r="P85">
        <v>-55.84</v>
      </c>
      <c r="Q85" t="s">
        <v>55</v>
      </c>
      <c r="R85" t="s">
        <v>56</v>
      </c>
    </row>
    <row r="86" spans="1:18" x14ac:dyDescent="0.3">
      <c r="A86" t="s">
        <v>333</v>
      </c>
      <c r="B86" t="s">
        <v>288</v>
      </c>
      <c r="C86" t="s">
        <v>334</v>
      </c>
      <c r="D86" t="s">
        <v>34</v>
      </c>
      <c r="E86" t="s">
        <v>35</v>
      </c>
      <c r="F86" t="s">
        <v>53</v>
      </c>
      <c r="G86" t="s">
        <v>36</v>
      </c>
      <c r="H86" t="s">
        <v>37</v>
      </c>
      <c r="I86" t="s">
        <v>26</v>
      </c>
      <c r="J86" t="s">
        <v>70</v>
      </c>
      <c r="K86" t="s">
        <v>86</v>
      </c>
      <c r="L86">
        <v>6</v>
      </c>
      <c r="M86">
        <v>176.36</v>
      </c>
      <c r="N86">
        <v>0.2</v>
      </c>
      <c r="O86">
        <v>846.53</v>
      </c>
      <c r="P86">
        <v>54.23</v>
      </c>
      <c r="Q86" t="s">
        <v>55</v>
      </c>
      <c r="R86" t="s">
        <v>72</v>
      </c>
    </row>
    <row r="87" spans="1:18" x14ac:dyDescent="0.3">
      <c r="A87" t="s">
        <v>335</v>
      </c>
      <c r="B87" t="s">
        <v>168</v>
      </c>
      <c r="C87" t="s">
        <v>138</v>
      </c>
      <c r="D87" t="s">
        <v>66</v>
      </c>
      <c r="E87" t="s">
        <v>22</v>
      </c>
      <c r="F87" t="s">
        <v>46</v>
      </c>
      <c r="G87" t="s">
        <v>47</v>
      </c>
      <c r="H87" t="s">
        <v>48</v>
      </c>
      <c r="I87" t="s">
        <v>78</v>
      </c>
      <c r="J87" t="s">
        <v>93</v>
      </c>
      <c r="K87" t="s">
        <v>202</v>
      </c>
      <c r="L87">
        <v>8</v>
      </c>
      <c r="M87">
        <v>184.24</v>
      </c>
      <c r="N87">
        <v>0.3</v>
      </c>
      <c r="O87">
        <v>1031.74</v>
      </c>
      <c r="P87">
        <v>-140.59</v>
      </c>
      <c r="Q87" t="s">
        <v>55</v>
      </c>
      <c r="R87" t="s">
        <v>72</v>
      </c>
    </row>
    <row r="88" spans="1:18" x14ac:dyDescent="0.3">
      <c r="A88" t="s">
        <v>336</v>
      </c>
      <c r="B88" t="s">
        <v>337</v>
      </c>
      <c r="C88" t="s">
        <v>338</v>
      </c>
      <c r="D88" t="s">
        <v>147</v>
      </c>
      <c r="E88" t="s">
        <v>22</v>
      </c>
      <c r="F88" t="s">
        <v>46</v>
      </c>
      <c r="G88" t="s">
        <v>24</v>
      </c>
      <c r="H88" t="s">
        <v>125</v>
      </c>
      <c r="I88" t="s">
        <v>38</v>
      </c>
      <c r="J88" t="s">
        <v>60</v>
      </c>
      <c r="K88" t="s">
        <v>61</v>
      </c>
      <c r="L88">
        <v>7</v>
      </c>
      <c r="M88">
        <v>50.68</v>
      </c>
      <c r="N88">
        <v>0.3</v>
      </c>
      <c r="O88">
        <v>248.33</v>
      </c>
      <c r="P88">
        <v>-2.13</v>
      </c>
      <c r="Q88" t="s">
        <v>29</v>
      </c>
      <c r="R88" t="s">
        <v>72</v>
      </c>
    </row>
    <row r="89" spans="1:18" x14ac:dyDescent="0.3">
      <c r="A89" t="s">
        <v>339</v>
      </c>
      <c r="B89" t="s">
        <v>340</v>
      </c>
      <c r="C89" t="s">
        <v>185</v>
      </c>
      <c r="D89" t="s">
        <v>52</v>
      </c>
      <c r="E89" t="s">
        <v>35</v>
      </c>
      <c r="F89" t="s">
        <v>23</v>
      </c>
      <c r="G89" t="s">
        <v>47</v>
      </c>
      <c r="H89" t="s">
        <v>164</v>
      </c>
      <c r="I89" t="s">
        <v>78</v>
      </c>
      <c r="J89" t="s">
        <v>79</v>
      </c>
      <c r="K89" t="s">
        <v>80</v>
      </c>
      <c r="L89">
        <v>1</v>
      </c>
      <c r="M89">
        <v>436.03</v>
      </c>
      <c r="N89">
        <v>0.2</v>
      </c>
      <c r="O89">
        <v>348.82</v>
      </c>
      <c r="P89">
        <v>-12.65</v>
      </c>
      <c r="Q89" t="s">
        <v>29</v>
      </c>
      <c r="R89" t="s">
        <v>56</v>
      </c>
    </row>
    <row r="90" spans="1:18" x14ac:dyDescent="0.3">
      <c r="A90" t="s">
        <v>341</v>
      </c>
      <c r="B90" t="s">
        <v>303</v>
      </c>
      <c r="C90" t="s">
        <v>342</v>
      </c>
      <c r="D90" t="s">
        <v>147</v>
      </c>
      <c r="E90" t="s">
        <v>22</v>
      </c>
      <c r="F90" t="s">
        <v>46</v>
      </c>
      <c r="G90" t="s">
        <v>24</v>
      </c>
      <c r="H90" t="s">
        <v>59</v>
      </c>
      <c r="I90" t="s">
        <v>26</v>
      </c>
      <c r="J90" t="s">
        <v>70</v>
      </c>
      <c r="L90">
        <v>4</v>
      </c>
      <c r="M90">
        <v>364.79</v>
      </c>
      <c r="N90">
        <v>0.2</v>
      </c>
      <c r="O90">
        <v>1167.33</v>
      </c>
      <c r="P90">
        <v>313.18</v>
      </c>
      <c r="Q90" t="s">
        <v>55</v>
      </c>
      <c r="R90" t="s">
        <v>56</v>
      </c>
    </row>
    <row r="91" spans="1:18" x14ac:dyDescent="0.3">
      <c r="A91" t="s">
        <v>343</v>
      </c>
      <c r="B91" t="s">
        <v>344</v>
      </c>
      <c r="C91" t="s">
        <v>345</v>
      </c>
      <c r="D91" t="s">
        <v>21</v>
      </c>
      <c r="E91" t="s">
        <v>35</v>
      </c>
      <c r="F91" t="s">
        <v>53</v>
      </c>
      <c r="G91" t="s">
        <v>84</v>
      </c>
      <c r="H91" t="s">
        <v>131</v>
      </c>
      <c r="I91" t="s">
        <v>26</v>
      </c>
      <c r="J91" t="s">
        <v>27</v>
      </c>
      <c r="K91" t="s">
        <v>28</v>
      </c>
      <c r="L91">
        <v>1</v>
      </c>
      <c r="M91">
        <v>88.18</v>
      </c>
      <c r="N91">
        <v>0.05</v>
      </c>
      <c r="O91">
        <v>83.77</v>
      </c>
      <c r="P91">
        <v>6.74</v>
      </c>
      <c r="Q91" t="s">
        <v>55</v>
      </c>
      <c r="R91" t="s">
        <v>72</v>
      </c>
    </row>
    <row r="92" spans="1:18" x14ac:dyDescent="0.3">
      <c r="A92" t="s">
        <v>346</v>
      </c>
      <c r="B92" t="s">
        <v>96</v>
      </c>
      <c r="C92" t="s">
        <v>97</v>
      </c>
      <c r="D92" t="s">
        <v>147</v>
      </c>
      <c r="E92" t="s">
        <v>35</v>
      </c>
      <c r="F92" t="s">
        <v>67</v>
      </c>
      <c r="G92" t="s">
        <v>84</v>
      </c>
      <c r="H92" t="s">
        <v>85</v>
      </c>
      <c r="I92" t="s">
        <v>78</v>
      </c>
      <c r="J92" t="s">
        <v>93</v>
      </c>
      <c r="K92" t="s">
        <v>110</v>
      </c>
      <c r="L92">
        <v>6</v>
      </c>
      <c r="M92">
        <v>145.74</v>
      </c>
      <c r="N92">
        <v>0.1</v>
      </c>
      <c r="O92">
        <v>787</v>
      </c>
      <c r="P92">
        <v>139.57</v>
      </c>
      <c r="Q92" t="s">
        <v>29</v>
      </c>
      <c r="R92" t="s">
        <v>30</v>
      </c>
    </row>
    <row r="93" spans="1:18" x14ac:dyDescent="0.3">
      <c r="A93" t="s">
        <v>347</v>
      </c>
      <c r="B93" t="s">
        <v>245</v>
      </c>
      <c r="C93" t="s">
        <v>348</v>
      </c>
      <c r="D93" t="s">
        <v>21</v>
      </c>
      <c r="E93" t="s">
        <v>349</v>
      </c>
      <c r="F93" t="s">
        <v>23</v>
      </c>
      <c r="G93" t="s">
        <v>108</v>
      </c>
      <c r="H93" t="s">
        <v>109</v>
      </c>
      <c r="I93" t="s">
        <v>78</v>
      </c>
      <c r="J93" t="s">
        <v>79</v>
      </c>
      <c r="K93" t="s">
        <v>80</v>
      </c>
      <c r="L93">
        <v>8</v>
      </c>
      <c r="M93">
        <v>276.33</v>
      </c>
      <c r="N93">
        <v>0.15</v>
      </c>
      <c r="O93">
        <v>1879.04</v>
      </c>
      <c r="P93">
        <v>-102.11</v>
      </c>
      <c r="Q93" t="s">
        <v>41</v>
      </c>
      <c r="R93" t="s">
        <v>72</v>
      </c>
    </row>
    <row r="94" spans="1:18" x14ac:dyDescent="0.3">
      <c r="A94" t="s">
        <v>350</v>
      </c>
      <c r="B94" t="s">
        <v>185</v>
      </c>
      <c r="C94" t="s">
        <v>106</v>
      </c>
      <c r="D94" t="s">
        <v>91</v>
      </c>
      <c r="E94" t="s">
        <v>35</v>
      </c>
      <c r="F94" t="s">
        <v>67</v>
      </c>
      <c r="G94" t="s">
        <v>84</v>
      </c>
      <c r="H94" t="s">
        <v>85</v>
      </c>
      <c r="I94" t="s">
        <v>26</v>
      </c>
      <c r="J94" t="s">
        <v>70</v>
      </c>
      <c r="K94" t="s">
        <v>222</v>
      </c>
      <c r="L94">
        <v>4</v>
      </c>
      <c r="M94">
        <v>182.71</v>
      </c>
      <c r="N94">
        <v>0.2</v>
      </c>
      <c r="O94">
        <v>584.66999999999996</v>
      </c>
      <c r="P94">
        <v>-90.51</v>
      </c>
      <c r="Q94" t="s">
        <v>41</v>
      </c>
      <c r="R94" t="s">
        <v>56</v>
      </c>
    </row>
    <row r="95" spans="1:18" x14ac:dyDescent="0.3">
      <c r="A95" t="s">
        <v>351</v>
      </c>
      <c r="B95" t="s">
        <v>352</v>
      </c>
      <c r="C95" t="s">
        <v>353</v>
      </c>
      <c r="D95" t="s">
        <v>66</v>
      </c>
      <c r="E95" t="s">
        <v>35</v>
      </c>
      <c r="F95" t="s">
        <v>23</v>
      </c>
      <c r="G95" t="s">
        <v>47</v>
      </c>
      <c r="H95" t="s">
        <v>164</v>
      </c>
      <c r="I95" t="s">
        <v>38</v>
      </c>
      <c r="J95" t="s">
        <v>60</v>
      </c>
      <c r="K95" t="s">
        <v>61</v>
      </c>
      <c r="L95">
        <v>7</v>
      </c>
      <c r="M95">
        <v>85.66</v>
      </c>
      <c r="N95">
        <v>0.15</v>
      </c>
      <c r="O95">
        <v>509.68</v>
      </c>
      <c r="P95">
        <v>33.119999999999997</v>
      </c>
      <c r="Q95" t="s">
        <v>29</v>
      </c>
      <c r="R95" t="s">
        <v>72</v>
      </c>
    </row>
    <row r="96" spans="1:18" x14ac:dyDescent="0.3">
      <c r="A96" t="s">
        <v>354</v>
      </c>
      <c r="B96" t="s">
        <v>50</v>
      </c>
      <c r="C96" t="s">
        <v>355</v>
      </c>
      <c r="D96" t="s">
        <v>21</v>
      </c>
      <c r="E96" t="s">
        <v>45</v>
      </c>
      <c r="F96" t="s">
        <v>53</v>
      </c>
      <c r="G96" t="s">
        <v>24</v>
      </c>
      <c r="H96" t="s">
        <v>59</v>
      </c>
      <c r="I96" t="s">
        <v>38</v>
      </c>
      <c r="J96" t="s">
        <v>60</v>
      </c>
      <c r="K96" t="s">
        <v>132</v>
      </c>
      <c r="L96">
        <v>7</v>
      </c>
      <c r="M96">
        <v>261.44</v>
      </c>
      <c r="N96">
        <v>0.3</v>
      </c>
      <c r="O96">
        <v>1281.06</v>
      </c>
      <c r="P96">
        <v>146.63999999999999</v>
      </c>
      <c r="Q96" t="s">
        <v>55</v>
      </c>
      <c r="R96" t="s">
        <v>72</v>
      </c>
    </row>
    <row r="97" spans="1:18" x14ac:dyDescent="0.3">
      <c r="A97" t="s">
        <v>356</v>
      </c>
      <c r="B97" t="s">
        <v>357</v>
      </c>
      <c r="C97" t="s">
        <v>358</v>
      </c>
      <c r="D97" t="s">
        <v>34</v>
      </c>
      <c r="E97" t="s">
        <v>45</v>
      </c>
      <c r="F97" t="s">
        <v>46</v>
      </c>
      <c r="G97" t="s">
        <v>24</v>
      </c>
      <c r="H97" t="s">
        <v>59</v>
      </c>
      <c r="I97" t="s">
        <v>26</v>
      </c>
      <c r="J97" t="s">
        <v>27</v>
      </c>
      <c r="K97" t="s">
        <v>28</v>
      </c>
      <c r="L97">
        <v>2</v>
      </c>
      <c r="M97">
        <v>115.55</v>
      </c>
      <c r="N97">
        <v>0.2</v>
      </c>
      <c r="O97">
        <v>184.88</v>
      </c>
      <c r="P97">
        <v>0.78</v>
      </c>
      <c r="Q97" t="s">
        <v>41</v>
      </c>
      <c r="R97" t="s">
        <v>62</v>
      </c>
    </row>
    <row r="98" spans="1:18" x14ac:dyDescent="0.3">
      <c r="A98" t="s">
        <v>359</v>
      </c>
      <c r="B98" t="s">
        <v>360</v>
      </c>
      <c r="C98" t="s">
        <v>361</v>
      </c>
      <c r="D98" t="s">
        <v>52</v>
      </c>
      <c r="E98" t="s">
        <v>35</v>
      </c>
      <c r="F98" t="s">
        <v>67</v>
      </c>
      <c r="G98" t="s">
        <v>108</v>
      </c>
      <c r="H98" t="s">
        <v>157</v>
      </c>
      <c r="I98" t="s">
        <v>38</v>
      </c>
      <c r="J98" t="s">
        <v>60</v>
      </c>
      <c r="K98" t="s">
        <v>132</v>
      </c>
      <c r="L98">
        <v>4</v>
      </c>
      <c r="M98">
        <v>408.42</v>
      </c>
      <c r="N98">
        <v>0.1</v>
      </c>
      <c r="O98">
        <v>1470.31</v>
      </c>
      <c r="P98">
        <v>-27.19</v>
      </c>
      <c r="Q98" t="s">
        <v>55</v>
      </c>
      <c r="R98" t="s">
        <v>62</v>
      </c>
    </row>
    <row r="99" spans="1:18" x14ac:dyDescent="0.3">
      <c r="A99" t="s">
        <v>362</v>
      </c>
      <c r="B99" t="s">
        <v>363</v>
      </c>
      <c r="C99" t="s">
        <v>364</v>
      </c>
      <c r="D99" t="s">
        <v>66</v>
      </c>
      <c r="E99" t="s">
        <v>22</v>
      </c>
      <c r="F99" t="s">
        <v>46</v>
      </c>
      <c r="G99" t="s">
        <v>108</v>
      </c>
      <c r="H99" t="s">
        <v>157</v>
      </c>
      <c r="I99" t="s">
        <v>26</v>
      </c>
      <c r="J99" t="s">
        <v>70</v>
      </c>
      <c r="K99" t="s">
        <v>71</v>
      </c>
      <c r="L99">
        <v>3</v>
      </c>
      <c r="M99">
        <v>428.47</v>
      </c>
      <c r="N99">
        <v>0.3</v>
      </c>
      <c r="O99">
        <v>899.79</v>
      </c>
      <c r="P99">
        <v>42.55</v>
      </c>
      <c r="Q99" t="s">
        <v>87</v>
      </c>
      <c r="R99" t="s">
        <v>30</v>
      </c>
    </row>
    <row r="100" spans="1:18" x14ac:dyDescent="0.3">
      <c r="A100" t="s">
        <v>365</v>
      </c>
      <c r="B100" t="s">
        <v>366</v>
      </c>
      <c r="C100" t="s">
        <v>367</v>
      </c>
      <c r="D100" t="s">
        <v>120</v>
      </c>
      <c r="E100" t="s">
        <v>45</v>
      </c>
      <c r="F100" t="s">
        <v>53</v>
      </c>
      <c r="G100" t="s">
        <v>108</v>
      </c>
      <c r="H100" t="s">
        <v>109</v>
      </c>
      <c r="I100" t="s">
        <v>78</v>
      </c>
      <c r="J100" t="s">
        <v>93</v>
      </c>
      <c r="K100" t="s">
        <v>94</v>
      </c>
      <c r="L100">
        <v>5</v>
      </c>
      <c r="M100">
        <v>269.41000000000003</v>
      </c>
      <c r="N100">
        <v>0.1</v>
      </c>
      <c r="O100">
        <v>1212.3499999999999</v>
      </c>
      <c r="P100">
        <v>64.709999999999994</v>
      </c>
      <c r="Q100" t="s">
        <v>41</v>
      </c>
      <c r="R100" t="s">
        <v>56</v>
      </c>
    </row>
    <row r="101" spans="1:18" x14ac:dyDescent="0.3">
      <c r="A101" t="s">
        <v>368</v>
      </c>
      <c r="B101" t="s">
        <v>369</v>
      </c>
      <c r="C101" t="s">
        <v>370</v>
      </c>
      <c r="D101" t="s">
        <v>120</v>
      </c>
      <c r="E101" t="s">
        <v>22</v>
      </c>
      <c r="F101" t="s">
        <v>67</v>
      </c>
      <c r="G101" t="s">
        <v>24</v>
      </c>
      <c r="H101" t="s">
        <v>25</v>
      </c>
      <c r="I101" t="s">
        <v>38</v>
      </c>
      <c r="J101" t="s">
        <v>60</v>
      </c>
      <c r="K101" t="s">
        <v>132</v>
      </c>
      <c r="L101">
        <v>7</v>
      </c>
      <c r="M101">
        <v>212.52</v>
      </c>
      <c r="N101">
        <v>0.2</v>
      </c>
      <c r="O101">
        <v>1190.1099999999999</v>
      </c>
      <c r="P101">
        <v>308.17</v>
      </c>
      <c r="Q101" t="s">
        <v>87</v>
      </c>
      <c r="R101" t="s">
        <v>62</v>
      </c>
    </row>
    <row r="102" spans="1:18" x14ac:dyDescent="0.3">
      <c r="A102" t="s">
        <v>371</v>
      </c>
      <c r="B102" t="s">
        <v>372</v>
      </c>
      <c r="C102" t="s">
        <v>373</v>
      </c>
      <c r="D102" t="s">
        <v>120</v>
      </c>
      <c r="E102" t="s">
        <v>22</v>
      </c>
      <c r="F102" t="s">
        <v>67</v>
      </c>
      <c r="G102" t="s">
        <v>24</v>
      </c>
      <c r="H102" t="s">
        <v>59</v>
      </c>
      <c r="I102" t="s">
        <v>38</v>
      </c>
      <c r="J102" t="s">
        <v>60</v>
      </c>
      <c r="K102" t="s">
        <v>132</v>
      </c>
      <c r="L102">
        <v>2</v>
      </c>
      <c r="M102">
        <v>231.01</v>
      </c>
      <c r="N102">
        <v>0.05</v>
      </c>
      <c r="O102">
        <v>438.92</v>
      </c>
      <c r="P102">
        <v>-71.099999999999994</v>
      </c>
      <c r="Q102" t="s">
        <v>41</v>
      </c>
      <c r="R102" t="s">
        <v>56</v>
      </c>
    </row>
    <row r="103" spans="1:18" x14ac:dyDescent="0.3">
      <c r="A103" t="s">
        <v>374</v>
      </c>
      <c r="B103" t="s">
        <v>177</v>
      </c>
      <c r="C103" t="s">
        <v>200</v>
      </c>
      <c r="D103" t="s">
        <v>21</v>
      </c>
      <c r="E103" t="s">
        <v>22</v>
      </c>
      <c r="F103" t="s">
        <v>23</v>
      </c>
      <c r="G103" t="s">
        <v>84</v>
      </c>
      <c r="H103" t="s">
        <v>201</v>
      </c>
      <c r="I103" t="s">
        <v>78</v>
      </c>
      <c r="J103" t="s">
        <v>93</v>
      </c>
      <c r="K103" t="s">
        <v>202</v>
      </c>
      <c r="L103">
        <v>1</v>
      </c>
      <c r="M103">
        <v>356.84</v>
      </c>
      <c r="N103">
        <v>0.3</v>
      </c>
      <c r="O103">
        <v>249.79</v>
      </c>
      <c r="P103">
        <v>-6.51</v>
      </c>
      <c r="Q103" t="s">
        <v>41</v>
      </c>
      <c r="R103" t="s">
        <v>62</v>
      </c>
    </row>
    <row r="104" spans="1:18" x14ac:dyDescent="0.3">
      <c r="A104" t="s">
        <v>375</v>
      </c>
      <c r="B104" t="s">
        <v>376</v>
      </c>
      <c r="C104" t="s">
        <v>377</v>
      </c>
      <c r="D104" t="s">
        <v>76</v>
      </c>
      <c r="E104" t="s">
        <v>22</v>
      </c>
      <c r="F104" t="s">
        <v>53</v>
      </c>
      <c r="G104" t="s">
        <v>36</v>
      </c>
      <c r="H104" t="s">
        <v>37</v>
      </c>
      <c r="I104" t="s">
        <v>78</v>
      </c>
      <c r="J104" t="s">
        <v>79</v>
      </c>
      <c r="K104" t="s">
        <v>378</v>
      </c>
      <c r="L104">
        <v>3</v>
      </c>
      <c r="M104">
        <v>413.2</v>
      </c>
      <c r="N104">
        <v>0.1</v>
      </c>
      <c r="O104">
        <v>1115.6400000000001</v>
      </c>
      <c r="P104">
        <v>295.8</v>
      </c>
      <c r="Q104" t="s">
        <v>87</v>
      </c>
      <c r="R104" t="s">
        <v>56</v>
      </c>
    </row>
    <row r="105" spans="1:18" x14ac:dyDescent="0.3">
      <c r="A105" t="s">
        <v>379</v>
      </c>
      <c r="B105" t="s">
        <v>380</v>
      </c>
      <c r="C105" t="s">
        <v>106</v>
      </c>
      <c r="D105" t="s">
        <v>66</v>
      </c>
      <c r="E105" t="s">
        <v>45</v>
      </c>
      <c r="F105" t="s">
        <v>67</v>
      </c>
      <c r="G105" t="s">
        <v>108</v>
      </c>
      <c r="H105" t="s">
        <v>115</v>
      </c>
      <c r="I105" t="s">
        <v>38</v>
      </c>
      <c r="J105" t="s">
        <v>39</v>
      </c>
      <c r="K105" t="s">
        <v>98</v>
      </c>
      <c r="L105">
        <v>2</v>
      </c>
      <c r="M105">
        <v>293.54000000000002</v>
      </c>
      <c r="N105">
        <v>0.15</v>
      </c>
      <c r="O105">
        <v>499.02</v>
      </c>
      <c r="P105">
        <v>26.9</v>
      </c>
      <c r="Q105" t="s">
        <v>41</v>
      </c>
      <c r="R105" t="s">
        <v>72</v>
      </c>
    </row>
    <row r="106" spans="1:18" x14ac:dyDescent="0.3">
      <c r="A106" t="s">
        <v>381</v>
      </c>
      <c r="B106" t="s">
        <v>382</v>
      </c>
      <c r="C106" t="s">
        <v>138</v>
      </c>
      <c r="D106" t="s">
        <v>147</v>
      </c>
      <c r="E106" t="s">
        <v>22</v>
      </c>
      <c r="F106" t="s">
        <v>46</v>
      </c>
      <c r="G106" t="s">
        <v>68</v>
      </c>
      <c r="H106" t="s">
        <v>320</v>
      </c>
      <c r="I106" t="s">
        <v>38</v>
      </c>
      <c r="J106" t="s">
        <v>39</v>
      </c>
      <c r="K106" t="s">
        <v>40</v>
      </c>
      <c r="L106">
        <v>2</v>
      </c>
      <c r="M106">
        <v>138.74</v>
      </c>
      <c r="N106">
        <v>0</v>
      </c>
      <c r="O106">
        <v>277.48</v>
      </c>
      <c r="P106">
        <v>14.86</v>
      </c>
      <c r="Q106" t="s">
        <v>55</v>
      </c>
      <c r="R106" t="s">
        <v>72</v>
      </c>
    </row>
    <row r="107" spans="1:18" x14ac:dyDescent="0.3">
      <c r="A107" t="s">
        <v>383</v>
      </c>
      <c r="B107" t="s">
        <v>384</v>
      </c>
      <c r="C107" t="s">
        <v>385</v>
      </c>
      <c r="D107" t="s">
        <v>120</v>
      </c>
      <c r="E107" t="s">
        <v>22</v>
      </c>
      <c r="F107" t="s">
        <v>46</v>
      </c>
      <c r="G107" t="s">
        <v>68</v>
      </c>
      <c r="H107" t="s">
        <v>77</v>
      </c>
      <c r="I107" t="s">
        <v>38</v>
      </c>
      <c r="J107" t="s">
        <v>39</v>
      </c>
      <c r="K107" t="s">
        <v>40</v>
      </c>
      <c r="L107">
        <v>3</v>
      </c>
      <c r="M107">
        <v>326.76</v>
      </c>
      <c r="N107">
        <v>0</v>
      </c>
      <c r="O107">
        <v>980.28</v>
      </c>
      <c r="P107">
        <v>8.82</v>
      </c>
      <c r="Q107" t="s">
        <v>87</v>
      </c>
      <c r="R107" t="s">
        <v>62</v>
      </c>
    </row>
    <row r="108" spans="1:18" x14ac:dyDescent="0.3">
      <c r="A108" t="s">
        <v>386</v>
      </c>
      <c r="B108" t="s">
        <v>58</v>
      </c>
      <c r="C108" t="s">
        <v>387</v>
      </c>
      <c r="D108" t="s">
        <v>91</v>
      </c>
      <c r="E108" t="s">
        <v>45</v>
      </c>
      <c r="F108" t="s">
        <v>23</v>
      </c>
      <c r="G108" t="s">
        <v>84</v>
      </c>
      <c r="H108" t="s">
        <v>131</v>
      </c>
      <c r="I108" t="s">
        <v>26</v>
      </c>
      <c r="J108" t="s">
        <v>70</v>
      </c>
      <c r="K108" t="s">
        <v>71</v>
      </c>
      <c r="L108">
        <v>4</v>
      </c>
      <c r="M108">
        <v>170.59</v>
      </c>
      <c r="N108">
        <v>0.2</v>
      </c>
      <c r="O108">
        <v>545.89</v>
      </c>
      <c r="P108">
        <v>148.94</v>
      </c>
      <c r="Q108" t="s">
        <v>55</v>
      </c>
      <c r="R108" t="s">
        <v>62</v>
      </c>
    </row>
    <row r="109" spans="1:18" x14ac:dyDescent="0.3">
      <c r="A109" t="s">
        <v>388</v>
      </c>
      <c r="B109" t="s">
        <v>389</v>
      </c>
      <c r="C109" t="s">
        <v>390</v>
      </c>
      <c r="D109" t="s">
        <v>21</v>
      </c>
      <c r="E109" t="s">
        <v>45</v>
      </c>
      <c r="F109" t="s">
        <v>53</v>
      </c>
      <c r="G109" t="s">
        <v>108</v>
      </c>
      <c r="H109" t="s">
        <v>109</v>
      </c>
      <c r="I109" t="s">
        <v>78</v>
      </c>
      <c r="J109" t="s">
        <v>79</v>
      </c>
      <c r="K109" t="s">
        <v>80</v>
      </c>
      <c r="L109">
        <v>6</v>
      </c>
      <c r="M109">
        <v>253.11</v>
      </c>
      <c r="N109">
        <v>0</v>
      </c>
      <c r="O109">
        <v>1518.66</v>
      </c>
      <c r="P109">
        <v>223.61</v>
      </c>
      <c r="Q109" t="s">
        <v>41</v>
      </c>
      <c r="R109" t="s">
        <v>72</v>
      </c>
    </row>
    <row r="110" spans="1:18" x14ac:dyDescent="0.3">
      <c r="A110" t="s">
        <v>391</v>
      </c>
      <c r="B110" t="s">
        <v>392</v>
      </c>
      <c r="C110" t="s">
        <v>393</v>
      </c>
      <c r="D110" t="s">
        <v>147</v>
      </c>
      <c r="E110" t="s">
        <v>45</v>
      </c>
      <c r="F110" t="s">
        <v>46</v>
      </c>
      <c r="G110" t="s">
        <v>47</v>
      </c>
      <c r="H110" t="s">
        <v>121</v>
      </c>
      <c r="I110" t="s">
        <v>26</v>
      </c>
      <c r="J110" t="s">
        <v>70</v>
      </c>
      <c r="K110" t="s">
        <v>71</v>
      </c>
      <c r="L110">
        <v>4</v>
      </c>
      <c r="M110">
        <v>368.98</v>
      </c>
      <c r="N110">
        <v>0.1</v>
      </c>
      <c r="O110">
        <v>1328.33</v>
      </c>
      <c r="P110">
        <v>329.45</v>
      </c>
      <c r="Q110" t="s">
        <v>87</v>
      </c>
      <c r="R110" t="s">
        <v>30</v>
      </c>
    </row>
    <row r="111" spans="1:18" x14ac:dyDescent="0.3">
      <c r="A111" t="s">
        <v>394</v>
      </c>
      <c r="B111" t="s">
        <v>395</v>
      </c>
      <c r="C111" t="s">
        <v>396</v>
      </c>
      <c r="D111" t="s">
        <v>76</v>
      </c>
      <c r="E111" t="s">
        <v>35</v>
      </c>
      <c r="F111" t="s">
        <v>46</v>
      </c>
      <c r="G111" t="s">
        <v>24</v>
      </c>
      <c r="H111" t="s">
        <v>59</v>
      </c>
      <c r="I111" t="s">
        <v>78</v>
      </c>
      <c r="J111" t="s">
        <v>79</v>
      </c>
      <c r="K111" t="s">
        <v>378</v>
      </c>
      <c r="L111">
        <v>2</v>
      </c>
      <c r="M111">
        <v>378.92</v>
      </c>
      <c r="N111">
        <v>0.3</v>
      </c>
      <c r="O111">
        <v>530.49</v>
      </c>
      <c r="P111">
        <v>-13.67</v>
      </c>
      <c r="Q111" t="s">
        <v>55</v>
      </c>
      <c r="R111" t="s">
        <v>72</v>
      </c>
    </row>
    <row r="112" spans="1:18" x14ac:dyDescent="0.3">
      <c r="A112" t="s">
        <v>397</v>
      </c>
      <c r="B112" t="s">
        <v>398</v>
      </c>
      <c r="C112" t="s">
        <v>313</v>
      </c>
      <c r="D112" t="s">
        <v>34</v>
      </c>
      <c r="E112" t="s">
        <v>35</v>
      </c>
      <c r="F112" t="s">
        <v>46</v>
      </c>
      <c r="G112" t="s">
        <v>24</v>
      </c>
      <c r="H112" t="s">
        <v>125</v>
      </c>
      <c r="I112" t="s">
        <v>78</v>
      </c>
      <c r="J112" t="s">
        <v>93</v>
      </c>
      <c r="K112" t="s">
        <v>94</v>
      </c>
      <c r="L112">
        <v>1</v>
      </c>
      <c r="M112">
        <v>121.12</v>
      </c>
      <c r="N112">
        <v>0.05</v>
      </c>
      <c r="O112">
        <v>115.06</v>
      </c>
      <c r="P112">
        <v>8.34</v>
      </c>
      <c r="Q112" t="s">
        <v>41</v>
      </c>
      <c r="R112" t="s">
        <v>30</v>
      </c>
    </row>
    <row r="113" spans="1:18" x14ac:dyDescent="0.3">
      <c r="A113" t="s">
        <v>399</v>
      </c>
      <c r="B113" t="s">
        <v>58</v>
      </c>
      <c r="C113" t="s">
        <v>400</v>
      </c>
      <c r="D113" t="s">
        <v>52</v>
      </c>
      <c r="E113" t="s">
        <v>22</v>
      </c>
      <c r="F113" t="s">
        <v>67</v>
      </c>
      <c r="G113" t="s">
        <v>47</v>
      </c>
      <c r="H113" t="s">
        <v>164</v>
      </c>
      <c r="I113" t="s">
        <v>38</v>
      </c>
      <c r="J113" t="s">
        <v>60</v>
      </c>
      <c r="K113" t="s">
        <v>132</v>
      </c>
      <c r="L113">
        <v>8</v>
      </c>
      <c r="M113">
        <v>35.76</v>
      </c>
      <c r="N113">
        <v>0.15</v>
      </c>
      <c r="O113">
        <v>243.17</v>
      </c>
      <c r="P113">
        <v>22.98</v>
      </c>
      <c r="Q113" t="s">
        <v>87</v>
      </c>
      <c r="R113" t="s">
        <v>30</v>
      </c>
    </row>
    <row r="114" spans="1:18" x14ac:dyDescent="0.3">
      <c r="A114" t="s">
        <v>401</v>
      </c>
      <c r="B114" t="s">
        <v>402</v>
      </c>
      <c r="C114" t="s">
        <v>403</v>
      </c>
      <c r="D114" t="s">
        <v>21</v>
      </c>
      <c r="E114" t="s">
        <v>22</v>
      </c>
      <c r="F114" t="s">
        <v>53</v>
      </c>
      <c r="G114" t="s">
        <v>68</v>
      </c>
      <c r="H114" t="s">
        <v>77</v>
      </c>
      <c r="I114" t="s">
        <v>26</v>
      </c>
      <c r="J114" t="s">
        <v>70</v>
      </c>
      <c r="K114" t="s">
        <v>222</v>
      </c>
      <c r="L114">
        <v>7</v>
      </c>
      <c r="M114">
        <v>90.79</v>
      </c>
      <c r="N114">
        <v>0.3</v>
      </c>
      <c r="O114">
        <v>444.87</v>
      </c>
      <c r="P114">
        <v>-62.56</v>
      </c>
      <c r="Q114" t="s">
        <v>87</v>
      </c>
      <c r="R114" t="s">
        <v>30</v>
      </c>
    </row>
    <row r="115" spans="1:18" x14ac:dyDescent="0.3">
      <c r="A115" t="s">
        <v>404</v>
      </c>
      <c r="B115" t="s">
        <v>405</v>
      </c>
      <c r="C115" t="s">
        <v>406</v>
      </c>
      <c r="D115" t="s">
        <v>66</v>
      </c>
      <c r="E115" t="s">
        <v>35</v>
      </c>
      <c r="F115" t="s">
        <v>53</v>
      </c>
      <c r="G115" t="s">
        <v>84</v>
      </c>
      <c r="H115" t="s">
        <v>131</v>
      </c>
      <c r="I115" t="s">
        <v>26</v>
      </c>
      <c r="J115" t="s">
        <v>27</v>
      </c>
      <c r="K115" t="s">
        <v>179</v>
      </c>
      <c r="L115">
        <v>1</v>
      </c>
      <c r="M115">
        <v>165.84</v>
      </c>
      <c r="N115">
        <v>0</v>
      </c>
      <c r="O115">
        <v>165.84</v>
      </c>
      <c r="P115">
        <v>-3.55</v>
      </c>
      <c r="Q115" t="s">
        <v>41</v>
      </c>
      <c r="R115" t="s">
        <v>62</v>
      </c>
    </row>
    <row r="116" spans="1:18" x14ac:dyDescent="0.3">
      <c r="A116" t="s">
        <v>407</v>
      </c>
      <c r="B116" t="s">
        <v>355</v>
      </c>
      <c r="C116" t="s">
        <v>408</v>
      </c>
      <c r="D116" t="s">
        <v>147</v>
      </c>
      <c r="E116" t="s">
        <v>45</v>
      </c>
      <c r="F116" t="s">
        <v>67</v>
      </c>
      <c r="G116" t="s">
        <v>108</v>
      </c>
      <c r="H116" t="s">
        <v>109</v>
      </c>
      <c r="I116" t="s">
        <v>26</v>
      </c>
      <c r="J116" t="s">
        <v>27</v>
      </c>
      <c r="K116" t="s">
        <v>28</v>
      </c>
      <c r="L116">
        <v>3</v>
      </c>
      <c r="M116">
        <v>366.68</v>
      </c>
      <c r="N116">
        <v>0</v>
      </c>
      <c r="O116">
        <v>1100.04</v>
      </c>
      <c r="P116">
        <v>164.32</v>
      </c>
      <c r="Q116" t="s">
        <v>55</v>
      </c>
      <c r="R116" t="s">
        <v>30</v>
      </c>
    </row>
    <row r="117" spans="1:18" x14ac:dyDescent="0.3">
      <c r="A117" t="s">
        <v>409</v>
      </c>
      <c r="B117" t="s">
        <v>410</v>
      </c>
      <c r="C117" t="s">
        <v>345</v>
      </c>
      <c r="D117" t="s">
        <v>147</v>
      </c>
      <c r="E117" t="s">
        <v>22</v>
      </c>
      <c r="F117" t="s">
        <v>46</v>
      </c>
      <c r="G117" t="s">
        <v>36</v>
      </c>
      <c r="H117" t="s">
        <v>92</v>
      </c>
      <c r="I117" t="s">
        <v>78</v>
      </c>
      <c r="J117" t="s">
        <v>79</v>
      </c>
      <c r="K117" t="s">
        <v>378</v>
      </c>
      <c r="L117">
        <v>8</v>
      </c>
      <c r="M117">
        <v>119.96</v>
      </c>
      <c r="N117">
        <v>0.3</v>
      </c>
      <c r="O117">
        <v>671.78</v>
      </c>
      <c r="P117">
        <v>-61.87</v>
      </c>
      <c r="Q117" t="s">
        <v>29</v>
      </c>
      <c r="R117" t="s">
        <v>56</v>
      </c>
    </row>
    <row r="118" spans="1:18" x14ac:dyDescent="0.3">
      <c r="A118" t="s">
        <v>411</v>
      </c>
      <c r="B118" t="s">
        <v>412</v>
      </c>
      <c r="C118" t="s">
        <v>199</v>
      </c>
      <c r="D118" t="s">
        <v>66</v>
      </c>
      <c r="E118" t="s">
        <v>22</v>
      </c>
      <c r="F118" t="s">
        <v>46</v>
      </c>
      <c r="G118" t="s">
        <v>108</v>
      </c>
      <c r="H118" t="s">
        <v>109</v>
      </c>
      <c r="I118" t="s">
        <v>78</v>
      </c>
      <c r="J118" t="s">
        <v>93</v>
      </c>
      <c r="K118" t="s">
        <v>94</v>
      </c>
      <c r="L118">
        <v>7</v>
      </c>
      <c r="M118">
        <v>157.85</v>
      </c>
      <c r="N118">
        <v>0.05</v>
      </c>
      <c r="O118">
        <v>1049.7</v>
      </c>
      <c r="P118">
        <v>50.65</v>
      </c>
      <c r="Q118" t="s">
        <v>87</v>
      </c>
      <c r="R118" t="s">
        <v>30</v>
      </c>
    </row>
    <row r="119" spans="1:18" x14ac:dyDescent="0.3">
      <c r="A119" t="s">
        <v>413</v>
      </c>
      <c r="B119" t="s">
        <v>414</v>
      </c>
      <c r="C119" t="s">
        <v>415</v>
      </c>
      <c r="D119" t="s">
        <v>91</v>
      </c>
      <c r="E119" t="s">
        <v>45</v>
      </c>
      <c r="F119" t="s">
        <v>23</v>
      </c>
      <c r="G119" t="s">
        <v>68</v>
      </c>
      <c r="H119" t="s">
        <v>77</v>
      </c>
      <c r="I119" t="s">
        <v>78</v>
      </c>
      <c r="J119" t="s">
        <v>93</v>
      </c>
      <c r="K119" t="s">
        <v>94</v>
      </c>
      <c r="L119">
        <v>5</v>
      </c>
      <c r="M119">
        <v>149.97999999999999</v>
      </c>
      <c r="N119">
        <v>0</v>
      </c>
      <c r="O119">
        <v>749.9</v>
      </c>
      <c r="P119">
        <v>-21.86</v>
      </c>
      <c r="Q119" t="s">
        <v>87</v>
      </c>
      <c r="R119" t="s">
        <v>56</v>
      </c>
    </row>
    <row r="120" spans="1:18" x14ac:dyDescent="0.3">
      <c r="A120" t="s">
        <v>416</v>
      </c>
      <c r="B120" t="s">
        <v>417</v>
      </c>
      <c r="C120" t="s">
        <v>418</v>
      </c>
      <c r="D120" t="s">
        <v>66</v>
      </c>
      <c r="E120" t="s">
        <v>22</v>
      </c>
      <c r="F120" t="s">
        <v>67</v>
      </c>
      <c r="G120" t="s">
        <v>108</v>
      </c>
      <c r="H120" t="s">
        <v>109</v>
      </c>
      <c r="I120" t="s">
        <v>78</v>
      </c>
      <c r="J120" t="s">
        <v>93</v>
      </c>
      <c r="K120" t="s">
        <v>94</v>
      </c>
      <c r="L120">
        <v>7</v>
      </c>
      <c r="M120">
        <v>129.35</v>
      </c>
      <c r="N120">
        <v>0</v>
      </c>
      <c r="O120">
        <v>905.45</v>
      </c>
      <c r="P120">
        <v>-131.72999999999999</v>
      </c>
      <c r="Q120" t="s">
        <v>55</v>
      </c>
      <c r="R120" t="s">
        <v>72</v>
      </c>
    </row>
    <row r="121" spans="1:18" x14ac:dyDescent="0.3">
      <c r="A121" t="s">
        <v>419</v>
      </c>
      <c r="B121" t="s">
        <v>420</v>
      </c>
      <c r="C121" t="s">
        <v>421</v>
      </c>
      <c r="D121" t="s">
        <v>120</v>
      </c>
      <c r="E121" t="s">
        <v>45</v>
      </c>
      <c r="F121" t="s">
        <v>46</v>
      </c>
      <c r="G121" t="s">
        <v>24</v>
      </c>
      <c r="H121" t="s">
        <v>125</v>
      </c>
      <c r="I121" t="s">
        <v>38</v>
      </c>
      <c r="J121" t="s">
        <v>60</v>
      </c>
      <c r="K121" t="s">
        <v>132</v>
      </c>
      <c r="L121">
        <v>6</v>
      </c>
      <c r="M121">
        <v>168.07</v>
      </c>
      <c r="O121">
        <v>806.74</v>
      </c>
      <c r="P121">
        <v>-133.19</v>
      </c>
      <c r="Q121" t="s">
        <v>29</v>
      </c>
      <c r="R121" t="s">
        <v>62</v>
      </c>
    </row>
    <row r="122" spans="1:18" x14ac:dyDescent="0.3">
      <c r="A122" t="s">
        <v>422</v>
      </c>
      <c r="B122" t="s">
        <v>423</v>
      </c>
      <c r="C122" t="s">
        <v>424</v>
      </c>
      <c r="D122" t="s">
        <v>120</v>
      </c>
      <c r="E122" t="s">
        <v>22</v>
      </c>
      <c r="F122" t="s">
        <v>23</v>
      </c>
      <c r="G122" t="s">
        <v>47</v>
      </c>
      <c r="H122" t="s">
        <v>48</v>
      </c>
      <c r="I122" t="s">
        <v>26</v>
      </c>
      <c r="J122" t="s">
        <v>70</v>
      </c>
      <c r="K122" t="s">
        <v>86</v>
      </c>
      <c r="L122">
        <v>5</v>
      </c>
      <c r="M122">
        <v>118.33</v>
      </c>
      <c r="N122">
        <v>0</v>
      </c>
      <c r="O122">
        <v>591.65</v>
      </c>
      <c r="P122">
        <v>-99.44</v>
      </c>
      <c r="Q122" t="s">
        <v>29</v>
      </c>
      <c r="R122" t="s">
        <v>56</v>
      </c>
    </row>
    <row r="123" spans="1:18" x14ac:dyDescent="0.3">
      <c r="A123" t="s">
        <v>425</v>
      </c>
      <c r="B123" t="s">
        <v>190</v>
      </c>
      <c r="C123" t="s">
        <v>426</v>
      </c>
      <c r="D123" t="s">
        <v>21</v>
      </c>
      <c r="E123" t="s">
        <v>45</v>
      </c>
      <c r="F123" t="s">
        <v>67</v>
      </c>
      <c r="G123" t="s">
        <v>47</v>
      </c>
      <c r="H123" t="s">
        <v>121</v>
      </c>
      <c r="I123" t="s">
        <v>78</v>
      </c>
      <c r="J123" t="s">
        <v>79</v>
      </c>
      <c r="K123" t="s">
        <v>143</v>
      </c>
      <c r="L123">
        <v>5</v>
      </c>
      <c r="M123">
        <v>314.74</v>
      </c>
      <c r="N123">
        <v>0.15</v>
      </c>
      <c r="O123">
        <v>1337.64</v>
      </c>
      <c r="P123">
        <v>-117.6</v>
      </c>
      <c r="Q123" t="s">
        <v>87</v>
      </c>
      <c r="R123" t="s">
        <v>30</v>
      </c>
    </row>
    <row r="124" spans="1:18" x14ac:dyDescent="0.3">
      <c r="A124" t="s">
        <v>427</v>
      </c>
      <c r="B124" t="s">
        <v>428</v>
      </c>
      <c r="C124" t="s">
        <v>257</v>
      </c>
      <c r="D124" t="s">
        <v>76</v>
      </c>
      <c r="E124" t="s">
        <v>45</v>
      </c>
      <c r="F124" t="s">
        <v>67</v>
      </c>
      <c r="G124" t="s">
        <v>108</v>
      </c>
      <c r="H124" t="s">
        <v>109</v>
      </c>
      <c r="I124" t="s">
        <v>26</v>
      </c>
      <c r="J124" t="s">
        <v>27</v>
      </c>
      <c r="K124" t="s">
        <v>28</v>
      </c>
      <c r="L124">
        <v>2</v>
      </c>
      <c r="M124">
        <v>251.1</v>
      </c>
      <c r="N124">
        <v>0.1</v>
      </c>
      <c r="O124">
        <v>451.98</v>
      </c>
      <c r="P124">
        <v>103.96</v>
      </c>
      <c r="Q124" t="s">
        <v>55</v>
      </c>
      <c r="R124" t="s">
        <v>62</v>
      </c>
    </row>
    <row r="125" spans="1:18" x14ac:dyDescent="0.3">
      <c r="A125" t="s">
        <v>429</v>
      </c>
      <c r="B125" t="s">
        <v>430</v>
      </c>
      <c r="C125" t="s">
        <v>263</v>
      </c>
      <c r="D125" t="s">
        <v>21</v>
      </c>
      <c r="E125" t="s">
        <v>45</v>
      </c>
      <c r="F125" t="s">
        <v>23</v>
      </c>
      <c r="G125" t="s">
        <v>24</v>
      </c>
      <c r="H125" t="s">
        <v>59</v>
      </c>
      <c r="I125" t="s">
        <v>38</v>
      </c>
      <c r="J125" t="s">
        <v>39</v>
      </c>
      <c r="K125" t="s">
        <v>40</v>
      </c>
      <c r="L125">
        <v>6</v>
      </c>
      <c r="M125">
        <v>214.59</v>
      </c>
      <c r="N125">
        <v>0.2</v>
      </c>
      <c r="O125">
        <v>1030.03</v>
      </c>
      <c r="P125">
        <v>-123.92</v>
      </c>
      <c r="Q125" t="s">
        <v>87</v>
      </c>
      <c r="R125" t="s">
        <v>72</v>
      </c>
    </row>
    <row r="126" spans="1:18" x14ac:dyDescent="0.3">
      <c r="A126" t="s">
        <v>431</v>
      </c>
      <c r="B126" t="s">
        <v>432</v>
      </c>
      <c r="C126" t="s">
        <v>433</v>
      </c>
      <c r="D126" t="s">
        <v>66</v>
      </c>
      <c r="E126" t="s">
        <v>35</v>
      </c>
      <c r="F126" t="s">
        <v>67</v>
      </c>
      <c r="G126" t="s">
        <v>24</v>
      </c>
      <c r="H126" t="s">
        <v>125</v>
      </c>
      <c r="I126" t="s">
        <v>78</v>
      </c>
      <c r="J126" t="s">
        <v>93</v>
      </c>
      <c r="K126" t="s">
        <v>94</v>
      </c>
      <c r="L126">
        <v>6</v>
      </c>
      <c r="M126">
        <v>291.91000000000003</v>
      </c>
      <c r="N126">
        <v>0.15</v>
      </c>
      <c r="O126">
        <v>1488.74</v>
      </c>
      <c r="P126">
        <v>51.04</v>
      </c>
      <c r="Q126" t="s">
        <v>87</v>
      </c>
      <c r="R126" t="s">
        <v>30</v>
      </c>
    </row>
    <row r="127" spans="1:18" x14ac:dyDescent="0.3">
      <c r="A127" t="s">
        <v>434</v>
      </c>
      <c r="B127" t="s">
        <v>435</v>
      </c>
      <c r="C127" t="s">
        <v>436</v>
      </c>
      <c r="D127" t="s">
        <v>91</v>
      </c>
      <c r="E127" t="s">
        <v>35</v>
      </c>
      <c r="F127" t="s">
        <v>46</v>
      </c>
      <c r="G127" t="s">
        <v>68</v>
      </c>
      <c r="H127" t="s">
        <v>69</v>
      </c>
      <c r="I127" t="s">
        <v>38</v>
      </c>
      <c r="J127" t="s">
        <v>60</v>
      </c>
      <c r="K127" t="s">
        <v>116</v>
      </c>
      <c r="L127">
        <v>3</v>
      </c>
      <c r="M127">
        <v>79.59</v>
      </c>
      <c r="N127">
        <v>0.3</v>
      </c>
      <c r="O127">
        <v>167.14</v>
      </c>
      <c r="P127">
        <v>-12.75</v>
      </c>
      <c r="Q127" t="s">
        <v>41</v>
      </c>
      <c r="R127" t="s">
        <v>62</v>
      </c>
    </row>
    <row r="128" spans="1:18" x14ac:dyDescent="0.3">
      <c r="A128" t="s">
        <v>437</v>
      </c>
      <c r="B128" t="s">
        <v>438</v>
      </c>
      <c r="C128" t="s">
        <v>439</v>
      </c>
      <c r="D128" t="s">
        <v>76</v>
      </c>
      <c r="E128" t="s">
        <v>22</v>
      </c>
      <c r="F128" t="s">
        <v>46</v>
      </c>
      <c r="G128" t="s">
        <v>36</v>
      </c>
      <c r="H128" t="s">
        <v>37</v>
      </c>
      <c r="I128" t="s">
        <v>26</v>
      </c>
      <c r="J128" t="s">
        <v>27</v>
      </c>
      <c r="K128" t="s">
        <v>139</v>
      </c>
      <c r="L128">
        <v>2</v>
      </c>
      <c r="M128">
        <v>230.14</v>
      </c>
      <c r="N128">
        <v>0.05</v>
      </c>
      <c r="O128">
        <v>437.27</v>
      </c>
      <c r="P128">
        <v>40.33</v>
      </c>
      <c r="Q128" t="s">
        <v>29</v>
      </c>
      <c r="R128" t="s">
        <v>30</v>
      </c>
    </row>
    <row r="129" spans="1:18" x14ac:dyDescent="0.3">
      <c r="A129" t="s">
        <v>440</v>
      </c>
      <c r="B129" t="s">
        <v>441</v>
      </c>
      <c r="C129" t="s">
        <v>442</v>
      </c>
      <c r="D129" t="s">
        <v>120</v>
      </c>
      <c r="E129" t="s">
        <v>22</v>
      </c>
      <c r="F129" t="s">
        <v>46</v>
      </c>
      <c r="G129" t="s">
        <v>108</v>
      </c>
      <c r="H129" t="s">
        <v>115</v>
      </c>
      <c r="I129" t="s">
        <v>38</v>
      </c>
      <c r="J129" t="s">
        <v>60</v>
      </c>
      <c r="K129" t="s">
        <v>61</v>
      </c>
      <c r="L129">
        <v>5</v>
      </c>
      <c r="M129">
        <v>295.8</v>
      </c>
      <c r="N129">
        <v>0.2</v>
      </c>
      <c r="O129">
        <v>1183.2</v>
      </c>
      <c r="P129">
        <v>13.76</v>
      </c>
      <c r="Q129" t="s">
        <v>41</v>
      </c>
      <c r="R129" t="s">
        <v>72</v>
      </c>
    </row>
    <row r="130" spans="1:18" x14ac:dyDescent="0.3">
      <c r="A130" t="s">
        <v>443</v>
      </c>
      <c r="B130" t="s">
        <v>444</v>
      </c>
      <c r="C130" t="s">
        <v>445</v>
      </c>
      <c r="D130" t="s">
        <v>120</v>
      </c>
      <c r="E130" t="s">
        <v>45</v>
      </c>
      <c r="F130" t="s">
        <v>67</v>
      </c>
      <c r="G130" t="s">
        <v>47</v>
      </c>
      <c r="H130" t="s">
        <v>48</v>
      </c>
      <c r="I130" t="s">
        <v>38</v>
      </c>
      <c r="J130" t="s">
        <v>39</v>
      </c>
      <c r="K130" t="s">
        <v>165</v>
      </c>
      <c r="L130">
        <v>8</v>
      </c>
      <c r="M130">
        <v>40.25</v>
      </c>
      <c r="N130">
        <v>0</v>
      </c>
      <c r="O130">
        <v>322</v>
      </c>
      <c r="P130">
        <v>-34.549999999999997</v>
      </c>
      <c r="Q130" t="s">
        <v>55</v>
      </c>
      <c r="R130" t="s">
        <v>56</v>
      </c>
    </row>
    <row r="131" spans="1:18" x14ac:dyDescent="0.3">
      <c r="A131" t="s">
        <v>446</v>
      </c>
      <c r="B131" t="s">
        <v>447</v>
      </c>
      <c r="C131" t="s">
        <v>448</v>
      </c>
      <c r="D131" t="s">
        <v>66</v>
      </c>
      <c r="E131" t="s">
        <v>35</v>
      </c>
      <c r="F131" t="s">
        <v>23</v>
      </c>
      <c r="G131" t="s">
        <v>108</v>
      </c>
      <c r="H131" t="s">
        <v>109</v>
      </c>
      <c r="I131" t="s">
        <v>26</v>
      </c>
      <c r="J131" t="s">
        <v>27</v>
      </c>
      <c r="K131" t="s">
        <v>28</v>
      </c>
      <c r="L131">
        <v>7</v>
      </c>
      <c r="M131">
        <v>65.8</v>
      </c>
      <c r="N131">
        <v>0.1</v>
      </c>
      <c r="O131">
        <v>414.54</v>
      </c>
      <c r="P131">
        <v>23.58</v>
      </c>
      <c r="Q131" t="s">
        <v>41</v>
      </c>
      <c r="R131" t="s">
        <v>72</v>
      </c>
    </row>
    <row r="132" spans="1:18" x14ac:dyDescent="0.3">
      <c r="A132" t="s">
        <v>449</v>
      </c>
      <c r="B132" t="s">
        <v>450</v>
      </c>
      <c r="C132" t="s">
        <v>451</v>
      </c>
      <c r="D132" t="s">
        <v>66</v>
      </c>
      <c r="E132" t="s">
        <v>22</v>
      </c>
      <c r="F132" t="s">
        <v>46</v>
      </c>
      <c r="G132" t="s">
        <v>24</v>
      </c>
      <c r="H132" t="s">
        <v>125</v>
      </c>
      <c r="I132" t="s">
        <v>38</v>
      </c>
      <c r="J132" t="s">
        <v>39</v>
      </c>
      <c r="K132" t="s">
        <v>98</v>
      </c>
      <c r="L132">
        <v>5</v>
      </c>
      <c r="M132">
        <v>425.86</v>
      </c>
      <c r="N132">
        <v>0.2</v>
      </c>
      <c r="O132">
        <v>1703.44</v>
      </c>
      <c r="P132">
        <v>21.02</v>
      </c>
      <c r="Q132" t="s">
        <v>55</v>
      </c>
      <c r="R132" t="s">
        <v>72</v>
      </c>
    </row>
    <row r="133" spans="1:18" x14ac:dyDescent="0.3">
      <c r="A133" t="s">
        <v>452</v>
      </c>
      <c r="B133" t="s">
        <v>453</v>
      </c>
      <c r="C133" t="s">
        <v>454</v>
      </c>
      <c r="D133" t="s">
        <v>52</v>
      </c>
      <c r="E133" t="s">
        <v>22</v>
      </c>
      <c r="F133" t="s">
        <v>46</v>
      </c>
      <c r="G133" t="s">
        <v>47</v>
      </c>
      <c r="H133" t="s">
        <v>48</v>
      </c>
      <c r="I133" t="s">
        <v>26</v>
      </c>
      <c r="J133" t="s">
        <v>70</v>
      </c>
      <c r="K133" t="s">
        <v>71</v>
      </c>
      <c r="L133">
        <v>8</v>
      </c>
      <c r="M133">
        <v>18.239999999999998</v>
      </c>
      <c r="N133">
        <v>0.15</v>
      </c>
      <c r="O133">
        <v>124.03</v>
      </c>
      <c r="P133">
        <v>6.51</v>
      </c>
      <c r="Q133" t="s">
        <v>29</v>
      </c>
      <c r="R133" t="s">
        <v>56</v>
      </c>
    </row>
    <row r="134" spans="1:18" x14ac:dyDescent="0.3">
      <c r="A134" t="s">
        <v>455</v>
      </c>
      <c r="B134" t="s">
        <v>456</v>
      </c>
      <c r="C134" t="s">
        <v>457</v>
      </c>
      <c r="D134" t="s">
        <v>76</v>
      </c>
      <c r="E134" t="s">
        <v>45</v>
      </c>
      <c r="F134" t="s">
        <v>46</v>
      </c>
      <c r="G134" t="s">
        <v>108</v>
      </c>
      <c r="H134" t="s">
        <v>115</v>
      </c>
      <c r="I134" t="s">
        <v>78</v>
      </c>
      <c r="J134" t="s">
        <v>93</v>
      </c>
      <c r="K134" t="s">
        <v>202</v>
      </c>
      <c r="L134">
        <v>8</v>
      </c>
      <c r="M134">
        <v>134.30000000000001</v>
      </c>
      <c r="N134">
        <v>0</v>
      </c>
      <c r="O134">
        <v>1074.4000000000001</v>
      </c>
      <c r="P134">
        <v>225.3</v>
      </c>
      <c r="Q134" t="s">
        <v>41</v>
      </c>
      <c r="R134" t="s">
        <v>30</v>
      </c>
    </row>
    <row r="135" spans="1:18" x14ac:dyDescent="0.3">
      <c r="A135" t="s">
        <v>458</v>
      </c>
      <c r="B135" t="s">
        <v>459</v>
      </c>
      <c r="C135" t="s">
        <v>460</v>
      </c>
      <c r="D135" t="s">
        <v>120</v>
      </c>
      <c r="E135" t="s">
        <v>22</v>
      </c>
      <c r="F135" t="s">
        <v>46</v>
      </c>
      <c r="G135" t="s">
        <v>36</v>
      </c>
      <c r="H135" t="s">
        <v>37</v>
      </c>
      <c r="I135" t="s">
        <v>78</v>
      </c>
      <c r="J135" t="s">
        <v>93</v>
      </c>
      <c r="K135" t="s">
        <v>110</v>
      </c>
      <c r="L135">
        <v>4</v>
      </c>
      <c r="M135">
        <v>168.24</v>
      </c>
      <c r="N135">
        <v>0.1</v>
      </c>
      <c r="O135">
        <v>605.66</v>
      </c>
      <c r="P135">
        <v>-88.53</v>
      </c>
      <c r="Q135" t="s">
        <v>29</v>
      </c>
      <c r="R135" t="s">
        <v>461</v>
      </c>
    </row>
    <row r="136" spans="1:18" x14ac:dyDescent="0.3">
      <c r="A136" t="s">
        <v>462</v>
      </c>
      <c r="B136" t="s">
        <v>463</v>
      </c>
      <c r="C136" t="s">
        <v>83</v>
      </c>
      <c r="D136" t="s">
        <v>147</v>
      </c>
      <c r="E136" t="s">
        <v>35</v>
      </c>
      <c r="F136" t="s">
        <v>53</v>
      </c>
      <c r="G136" t="s">
        <v>84</v>
      </c>
      <c r="H136" t="s">
        <v>131</v>
      </c>
      <c r="I136" t="s">
        <v>38</v>
      </c>
      <c r="J136" t="s">
        <v>60</v>
      </c>
      <c r="K136" t="s">
        <v>116</v>
      </c>
      <c r="L136">
        <v>6</v>
      </c>
      <c r="M136">
        <v>341.69</v>
      </c>
      <c r="N136">
        <v>0.05</v>
      </c>
      <c r="O136">
        <v>1947.63</v>
      </c>
      <c r="P136">
        <v>189.18</v>
      </c>
      <c r="Q136" t="s">
        <v>41</v>
      </c>
      <c r="R136" t="s">
        <v>72</v>
      </c>
    </row>
    <row r="137" spans="1:18" x14ac:dyDescent="0.3">
      <c r="A137" t="s">
        <v>464</v>
      </c>
      <c r="B137" t="s">
        <v>465</v>
      </c>
      <c r="C137" t="s">
        <v>466</v>
      </c>
      <c r="D137" t="s">
        <v>91</v>
      </c>
      <c r="E137" t="s">
        <v>22</v>
      </c>
      <c r="F137" t="s">
        <v>46</v>
      </c>
      <c r="G137" t="s">
        <v>68</v>
      </c>
      <c r="H137" t="s">
        <v>77</v>
      </c>
      <c r="I137" t="s">
        <v>26</v>
      </c>
      <c r="J137" t="s">
        <v>70</v>
      </c>
      <c r="K137" t="s">
        <v>86</v>
      </c>
      <c r="L137">
        <v>3</v>
      </c>
      <c r="M137">
        <v>152.96</v>
      </c>
      <c r="N137">
        <v>0.2</v>
      </c>
      <c r="O137">
        <v>367.1</v>
      </c>
      <c r="P137">
        <v>-12.29</v>
      </c>
      <c r="Q137" t="s">
        <v>87</v>
      </c>
      <c r="R137" t="s">
        <v>56</v>
      </c>
    </row>
    <row r="138" spans="1:18" x14ac:dyDescent="0.3">
      <c r="A138" t="s">
        <v>467</v>
      </c>
      <c r="B138" t="s">
        <v>468</v>
      </c>
      <c r="C138" t="s">
        <v>469</v>
      </c>
      <c r="D138" t="s">
        <v>120</v>
      </c>
      <c r="E138" t="s">
        <v>45</v>
      </c>
      <c r="F138" t="s">
        <v>67</v>
      </c>
      <c r="G138" t="s">
        <v>84</v>
      </c>
      <c r="H138" t="s">
        <v>131</v>
      </c>
      <c r="I138" t="s">
        <v>78</v>
      </c>
      <c r="J138" t="s">
        <v>93</v>
      </c>
      <c r="K138" t="s">
        <v>110</v>
      </c>
      <c r="L138">
        <v>2</v>
      </c>
      <c r="M138">
        <v>441.11</v>
      </c>
      <c r="N138">
        <v>0.2</v>
      </c>
      <c r="O138">
        <v>705.78</v>
      </c>
      <c r="P138">
        <v>-27.15</v>
      </c>
      <c r="Q138" t="s">
        <v>29</v>
      </c>
      <c r="R138" t="s">
        <v>72</v>
      </c>
    </row>
    <row r="139" spans="1:18" x14ac:dyDescent="0.3">
      <c r="A139" t="s">
        <v>470</v>
      </c>
      <c r="B139" t="s">
        <v>471</v>
      </c>
      <c r="C139" t="s">
        <v>472</v>
      </c>
      <c r="D139" t="s">
        <v>52</v>
      </c>
      <c r="E139" t="s">
        <v>35</v>
      </c>
      <c r="F139" t="s">
        <v>23</v>
      </c>
      <c r="G139" t="s">
        <v>108</v>
      </c>
      <c r="H139" t="s">
        <v>115</v>
      </c>
      <c r="I139" t="s">
        <v>38</v>
      </c>
      <c r="J139" t="s">
        <v>39</v>
      </c>
      <c r="K139" t="s">
        <v>165</v>
      </c>
      <c r="L139">
        <v>7</v>
      </c>
      <c r="M139">
        <v>73.319999999999993</v>
      </c>
      <c r="N139">
        <v>0.3</v>
      </c>
      <c r="O139">
        <v>359.27</v>
      </c>
      <c r="P139">
        <v>-24.64</v>
      </c>
      <c r="Q139" t="s">
        <v>87</v>
      </c>
      <c r="R139" t="s">
        <v>62</v>
      </c>
    </row>
    <row r="140" spans="1:18" x14ac:dyDescent="0.3">
      <c r="A140" t="s">
        <v>473</v>
      </c>
      <c r="B140" t="s">
        <v>474</v>
      </c>
      <c r="C140" t="s">
        <v>475</v>
      </c>
      <c r="D140" t="s">
        <v>52</v>
      </c>
      <c r="E140" t="s">
        <v>22</v>
      </c>
      <c r="F140" t="s">
        <v>46</v>
      </c>
      <c r="G140" t="s">
        <v>68</v>
      </c>
      <c r="H140" t="s">
        <v>69</v>
      </c>
      <c r="I140" t="s">
        <v>78</v>
      </c>
      <c r="J140" t="s">
        <v>93</v>
      </c>
      <c r="K140" t="s">
        <v>110</v>
      </c>
      <c r="L140">
        <v>8</v>
      </c>
      <c r="M140">
        <v>393.79</v>
      </c>
      <c r="N140">
        <v>0.3</v>
      </c>
      <c r="O140">
        <v>2205.2199999999998</v>
      </c>
      <c r="P140">
        <v>340.94</v>
      </c>
      <c r="Q140" t="s">
        <v>87</v>
      </c>
      <c r="R140" t="s">
        <v>72</v>
      </c>
    </row>
    <row r="141" spans="1:18" x14ac:dyDescent="0.3">
      <c r="A141" t="s">
        <v>476</v>
      </c>
      <c r="B141" t="s">
        <v>248</v>
      </c>
      <c r="C141" t="s">
        <v>477</v>
      </c>
      <c r="D141" t="s">
        <v>120</v>
      </c>
      <c r="E141" t="s">
        <v>35</v>
      </c>
      <c r="F141" t="s">
        <v>67</v>
      </c>
      <c r="G141" t="s">
        <v>47</v>
      </c>
      <c r="H141" t="s">
        <v>164</v>
      </c>
      <c r="I141" t="s">
        <v>78</v>
      </c>
      <c r="J141" t="s">
        <v>79</v>
      </c>
      <c r="K141" t="s">
        <v>378</v>
      </c>
      <c r="L141">
        <v>6</v>
      </c>
      <c r="M141">
        <v>249.45</v>
      </c>
      <c r="N141">
        <v>0.3</v>
      </c>
      <c r="O141">
        <v>1047.69</v>
      </c>
      <c r="P141">
        <v>183.47</v>
      </c>
      <c r="Q141" t="s">
        <v>41</v>
      </c>
      <c r="R141" t="s">
        <v>62</v>
      </c>
    </row>
    <row r="142" spans="1:18" x14ac:dyDescent="0.3">
      <c r="A142" t="s">
        <v>478</v>
      </c>
      <c r="B142" t="s">
        <v>196</v>
      </c>
      <c r="C142" t="s">
        <v>479</v>
      </c>
      <c r="D142" t="s">
        <v>91</v>
      </c>
      <c r="E142" t="s">
        <v>35</v>
      </c>
      <c r="F142" t="s">
        <v>23</v>
      </c>
      <c r="G142" t="s">
        <v>108</v>
      </c>
      <c r="H142" t="s">
        <v>157</v>
      </c>
      <c r="I142" t="s">
        <v>78</v>
      </c>
      <c r="J142" t="s">
        <v>79</v>
      </c>
      <c r="K142" t="s">
        <v>378</v>
      </c>
      <c r="L142">
        <v>8</v>
      </c>
      <c r="M142">
        <v>148.13</v>
      </c>
      <c r="N142">
        <v>0.1</v>
      </c>
      <c r="O142">
        <v>1066.54</v>
      </c>
      <c r="P142">
        <v>83</v>
      </c>
      <c r="Q142" t="s">
        <v>41</v>
      </c>
      <c r="R142" t="s">
        <v>62</v>
      </c>
    </row>
    <row r="143" spans="1:18" x14ac:dyDescent="0.3">
      <c r="A143" t="s">
        <v>480</v>
      </c>
      <c r="B143" t="s">
        <v>417</v>
      </c>
      <c r="C143" t="s">
        <v>481</v>
      </c>
      <c r="D143" t="s">
        <v>52</v>
      </c>
      <c r="E143" t="s">
        <v>35</v>
      </c>
      <c r="F143" t="s">
        <v>46</v>
      </c>
      <c r="G143" t="s">
        <v>84</v>
      </c>
      <c r="H143" t="s">
        <v>201</v>
      </c>
      <c r="I143" t="s">
        <v>78</v>
      </c>
      <c r="J143" t="s">
        <v>79</v>
      </c>
      <c r="K143" t="s">
        <v>143</v>
      </c>
      <c r="L143">
        <v>2</v>
      </c>
      <c r="M143">
        <v>161.09</v>
      </c>
      <c r="N143">
        <v>0.15</v>
      </c>
      <c r="O143">
        <v>273.85000000000002</v>
      </c>
      <c r="P143">
        <v>33.340000000000003</v>
      </c>
      <c r="Q143" t="s">
        <v>41</v>
      </c>
      <c r="R143" t="s">
        <v>62</v>
      </c>
    </row>
    <row r="144" spans="1:18" x14ac:dyDescent="0.3">
      <c r="A144" t="s">
        <v>482</v>
      </c>
      <c r="B144" t="s">
        <v>398</v>
      </c>
      <c r="C144" t="s">
        <v>312</v>
      </c>
      <c r="D144" t="s">
        <v>52</v>
      </c>
      <c r="E144" t="s">
        <v>35</v>
      </c>
      <c r="F144" t="s">
        <v>53</v>
      </c>
      <c r="G144" t="s">
        <v>108</v>
      </c>
      <c r="H144" t="s">
        <v>115</v>
      </c>
      <c r="I144" t="s">
        <v>38</v>
      </c>
      <c r="J144" t="s">
        <v>60</v>
      </c>
      <c r="K144" t="s">
        <v>132</v>
      </c>
      <c r="L144">
        <v>4</v>
      </c>
      <c r="M144">
        <v>115.17</v>
      </c>
      <c r="N144">
        <v>0.3</v>
      </c>
      <c r="O144">
        <v>322.48</v>
      </c>
      <c r="P144">
        <v>76.23</v>
      </c>
      <c r="Q144" t="s">
        <v>41</v>
      </c>
      <c r="R144" t="s">
        <v>72</v>
      </c>
    </row>
    <row r="145" spans="1:18" x14ac:dyDescent="0.3">
      <c r="A145" t="s">
        <v>483</v>
      </c>
      <c r="B145" t="s">
        <v>484</v>
      </c>
      <c r="C145" t="s">
        <v>444</v>
      </c>
      <c r="D145" t="s">
        <v>91</v>
      </c>
      <c r="E145" t="s">
        <v>45</v>
      </c>
      <c r="F145" t="s">
        <v>46</v>
      </c>
      <c r="G145" t="s">
        <v>68</v>
      </c>
      <c r="H145" t="s">
        <v>320</v>
      </c>
      <c r="I145" t="s">
        <v>38</v>
      </c>
      <c r="J145" t="s">
        <v>60</v>
      </c>
      <c r="K145" t="s">
        <v>61</v>
      </c>
      <c r="L145">
        <v>3</v>
      </c>
      <c r="M145">
        <v>187.85</v>
      </c>
      <c r="N145">
        <v>0.15</v>
      </c>
      <c r="O145">
        <v>479.02</v>
      </c>
      <c r="P145">
        <v>18.98</v>
      </c>
      <c r="Q145" t="s">
        <v>29</v>
      </c>
      <c r="R145" t="s">
        <v>30</v>
      </c>
    </row>
    <row r="146" spans="1:18" x14ac:dyDescent="0.3">
      <c r="A146" t="s">
        <v>485</v>
      </c>
      <c r="B146" t="s">
        <v>255</v>
      </c>
      <c r="C146" t="s">
        <v>242</v>
      </c>
      <c r="D146" t="s">
        <v>147</v>
      </c>
      <c r="E146" t="s">
        <v>45</v>
      </c>
      <c r="F146" t="s">
        <v>23</v>
      </c>
      <c r="G146" t="s">
        <v>68</v>
      </c>
      <c r="H146" t="s">
        <v>77</v>
      </c>
      <c r="I146" t="s">
        <v>26</v>
      </c>
      <c r="J146" t="s">
        <v>27</v>
      </c>
      <c r="K146" t="s">
        <v>28</v>
      </c>
      <c r="L146">
        <v>1</v>
      </c>
      <c r="M146">
        <v>411.65</v>
      </c>
      <c r="N146">
        <v>0.05</v>
      </c>
      <c r="O146">
        <v>391.07</v>
      </c>
      <c r="P146">
        <v>4.78</v>
      </c>
      <c r="Q146" t="s">
        <v>41</v>
      </c>
      <c r="R146" t="s">
        <v>30</v>
      </c>
    </row>
    <row r="147" spans="1:18" x14ac:dyDescent="0.3">
      <c r="A147" t="s">
        <v>486</v>
      </c>
      <c r="B147" t="s">
        <v>487</v>
      </c>
      <c r="C147" t="s">
        <v>297</v>
      </c>
      <c r="D147" t="s">
        <v>120</v>
      </c>
      <c r="E147" t="s">
        <v>35</v>
      </c>
      <c r="F147" t="s">
        <v>23</v>
      </c>
      <c r="G147" t="s">
        <v>36</v>
      </c>
      <c r="H147" t="s">
        <v>37</v>
      </c>
      <c r="I147" t="s">
        <v>38</v>
      </c>
      <c r="J147" t="s">
        <v>60</v>
      </c>
      <c r="K147" t="s">
        <v>132</v>
      </c>
      <c r="L147">
        <v>2</v>
      </c>
      <c r="M147">
        <v>418.38</v>
      </c>
      <c r="N147">
        <v>0.1</v>
      </c>
      <c r="O147">
        <v>753.08</v>
      </c>
      <c r="P147" t="s">
        <v>136</v>
      </c>
      <c r="Q147" t="s">
        <v>55</v>
      </c>
      <c r="R147" t="s">
        <v>30</v>
      </c>
    </row>
    <row r="148" spans="1:18" x14ac:dyDescent="0.3">
      <c r="A148" t="s">
        <v>488</v>
      </c>
      <c r="B148" t="s">
        <v>384</v>
      </c>
      <c r="C148" t="s">
        <v>489</v>
      </c>
      <c r="D148" t="s">
        <v>52</v>
      </c>
      <c r="E148" t="s">
        <v>35</v>
      </c>
      <c r="F148" t="s">
        <v>23</v>
      </c>
      <c r="G148" t="s">
        <v>108</v>
      </c>
      <c r="H148" t="s">
        <v>109</v>
      </c>
      <c r="I148" t="s">
        <v>78</v>
      </c>
      <c r="J148" t="s">
        <v>79</v>
      </c>
      <c r="K148" t="s">
        <v>378</v>
      </c>
      <c r="L148">
        <v>5</v>
      </c>
      <c r="M148">
        <v>325.62</v>
      </c>
      <c r="N148">
        <v>0</v>
      </c>
      <c r="O148">
        <v>1628.1</v>
      </c>
      <c r="P148">
        <v>258.61</v>
      </c>
      <c r="Q148" t="s">
        <v>41</v>
      </c>
      <c r="R148" t="s">
        <v>30</v>
      </c>
    </row>
    <row r="149" spans="1:18" x14ac:dyDescent="0.3">
      <c r="A149" t="s">
        <v>490</v>
      </c>
      <c r="B149" t="s">
        <v>491</v>
      </c>
      <c r="C149" t="s">
        <v>492</v>
      </c>
      <c r="D149" t="s">
        <v>52</v>
      </c>
      <c r="E149" t="s">
        <v>45</v>
      </c>
      <c r="F149" t="s">
        <v>46</v>
      </c>
      <c r="G149" t="s">
        <v>24</v>
      </c>
      <c r="H149" t="s">
        <v>125</v>
      </c>
      <c r="I149" t="s">
        <v>78</v>
      </c>
      <c r="J149" t="s">
        <v>93</v>
      </c>
      <c r="K149" t="s">
        <v>202</v>
      </c>
      <c r="L149">
        <v>3</v>
      </c>
      <c r="M149">
        <v>219.03</v>
      </c>
      <c r="N149">
        <v>0.05</v>
      </c>
      <c r="O149">
        <v>624.24</v>
      </c>
      <c r="P149">
        <v>-110.4</v>
      </c>
      <c r="Q149" t="s">
        <v>41</v>
      </c>
      <c r="R149" t="s">
        <v>30</v>
      </c>
    </row>
    <row r="150" spans="1:18" x14ac:dyDescent="0.3">
      <c r="A150" t="s">
        <v>493</v>
      </c>
      <c r="B150" t="s">
        <v>221</v>
      </c>
      <c r="C150" t="s">
        <v>494</v>
      </c>
      <c r="D150" t="s">
        <v>34</v>
      </c>
      <c r="E150" t="s">
        <v>22</v>
      </c>
      <c r="F150" t="s">
        <v>46</v>
      </c>
      <c r="G150" t="s">
        <v>84</v>
      </c>
      <c r="H150" t="s">
        <v>201</v>
      </c>
      <c r="I150" t="s">
        <v>78</v>
      </c>
      <c r="J150" t="s">
        <v>79</v>
      </c>
      <c r="K150" t="s">
        <v>143</v>
      </c>
      <c r="L150">
        <v>4</v>
      </c>
      <c r="M150">
        <v>35.46</v>
      </c>
      <c r="N150">
        <v>0</v>
      </c>
      <c r="O150">
        <v>141.84</v>
      </c>
      <c r="P150">
        <v>4.83</v>
      </c>
      <c r="Q150" t="s">
        <v>29</v>
      </c>
      <c r="R150" t="s">
        <v>56</v>
      </c>
    </row>
    <row r="151" spans="1:18" x14ac:dyDescent="0.3">
      <c r="A151" t="s">
        <v>495</v>
      </c>
      <c r="B151" t="s">
        <v>496</v>
      </c>
      <c r="C151" t="s">
        <v>497</v>
      </c>
      <c r="D151" t="s">
        <v>34</v>
      </c>
      <c r="E151" t="s">
        <v>22</v>
      </c>
      <c r="F151" t="s">
        <v>23</v>
      </c>
      <c r="G151" t="s">
        <v>68</v>
      </c>
      <c r="H151" t="s">
        <v>320</v>
      </c>
      <c r="I151" t="s">
        <v>78</v>
      </c>
      <c r="J151" t="s">
        <v>79</v>
      </c>
      <c r="K151" t="s">
        <v>143</v>
      </c>
      <c r="L151">
        <v>3</v>
      </c>
      <c r="M151">
        <v>219.36</v>
      </c>
      <c r="N151">
        <v>0.15</v>
      </c>
      <c r="O151">
        <v>559.37</v>
      </c>
      <c r="P151">
        <v>91.71</v>
      </c>
      <c r="Q151" t="s">
        <v>55</v>
      </c>
      <c r="R151" t="s">
        <v>62</v>
      </c>
    </row>
    <row r="152" spans="1:18" x14ac:dyDescent="0.3">
      <c r="A152" t="s">
        <v>498</v>
      </c>
      <c r="B152" t="s">
        <v>499</v>
      </c>
      <c r="C152" t="s">
        <v>500</v>
      </c>
      <c r="D152" t="s">
        <v>147</v>
      </c>
      <c r="E152" t="s">
        <v>22</v>
      </c>
      <c r="F152" t="s">
        <v>67</v>
      </c>
      <c r="G152" t="s">
        <v>24</v>
      </c>
      <c r="H152" t="s">
        <v>25</v>
      </c>
      <c r="I152" t="s">
        <v>26</v>
      </c>
      <c r="J152" t="s">
        <v>27</v>
      </c>
      <c r="K152" t="s">
        <v>139</v>
      </c>
      <c r="L152">
        <v>8</v>
      </c>
      <c r="M152">
        <v>241.45</v>
      </c>
      <c r="N152">
        <v>0.1</v>
      </c>
      <c r="O152">
        <v>1738.44</v>
      </c>
      <c r="P152">
        <v>-250.46</v>
      </c>
      <c r="Q152" t="s">
        <v>55</v>
      </c>
      <c r="R152" t="s">
        <v>62</v>
      </c>
    </row>
    <row r="153" spans="1:18" x14ac:dyDescent="0.3">
      <c r="A153" t="s">
        <v>501</v>
      </c>
      <c r="B153" t="s">
        <v>502</v>
      </c>
      <c r="C153" t="s">
        <v>503</v>
      </c>
      <c r="D153" t="s">
        <v>120</v>
      </c>
      <c r="E153" t="s">
        <v>35</v>
      </c>
      <c r="F153" t="s">
        <v>23</v>
      </c>
      <c r="G153" t="s">
        <v>47</v>
      </c>
      <c r="H153" t="s">
        <v>121</v>
      </c>
      <c r="I153" t="s">
        <v>78</v>
      </c>
      <c r="J153" t="s">
        <v>79</v>
      </c>
      <c r="K153" t="s">
        <v>80</v>
      </c>
      <c r="L153">
        <v>4</v>
      </c>
      <c r="M153">
        <v>324.88</v>
      </c>
      <c r="N153">
        <v>0.15</v>
      </c>
      <c r="O153">
        <v>1104.5899999999999</v>
      </c>
      <c r="P153">
        <v>-152.62</v>
      </c>
      <c r="Q153" t="s">
        <v>87</v>
      </c>
      <c r="R153" t="s">
        <v>72</v>
      </c>
    </row>
    <row r="154" spans="1:18" x14ac:dyDescent="0.3">
      <c r="A154" t="s">
        <v>504</v>
      </c>
      <c r="B154" t="s">
        <v>505</v>
      </c>
      <c r="C154" t="s">
        <v>506</v>
      </c>
      <c r="D154" t="s">
        <v>52</v>
      </c>
      <c r="E154" t="s">
        <v>22</v>
      </c>
      <c r="F154" t="s">
        <v>53</v>
      </c>
      <c r="G154" t="s">
        <v>36</v>
      </c>
      <c r="H154" t="s">
        <v>92</v>
      </c>
      <c r="I154" t="s">
        <v>26</v>
      </c>
      <c r="J154" t="s">
        <v>70</v>
      </c>
      <c r="K154" t="s">
        <v>71</v>
      </c>
      <c r="L154">
        <v>5</v>
      </c>
      <c r="M154">
        <v>327.69</v>
      </c>
      <c r="N154">
        <v>0.15</v>
      </c>
      <c r="O154">
        <v>1392.68</v>
      </c>
      <c r="P154">
        <v>-87.67</v>
      </c>
      <c r="Q154" t="s">
        <v>87</v>
      </c>
      <c r="R154" t="s">
        <v>56</v>
      </c>
    </row>
    <row r="155" spans="1:18" x14ac:dyDescent="0.3">
      <c r="A155" t="s">
        <v>507</v>
      </c>
      <c r="B155" t="s">
        <v>328</v>
      </c>
      <c r="C155" t="s">
        <v>112</v>
      </c>
      <c r="D155" t="s">
        <v>76</v>
      </c>
      <c r="E155" t="s">
        <v>35</v>
      </c>
      <c r="F155" t="s">
        <v>23</v>
      </c>
      <c r="G155" t="s">
        <v>36</v>
      </c>
      <c r="H155" t="s">
        <v>54</v>
      </c>
      <c r="I155" t="s">
        <v>26</v>
      </c>
      <c r="J155" t="s">
        <v>27</v>
      </c>
      <c r="K155" t="s">
        <v>179</v>
      </c>
      <c r="L155">
        <v>2</v>
      </c>
      <c r="M155">
        <v>443.87</v>
      </c>
      <c r="N155">
        <v>0.15</v>
      </c>
      <c r="O155">
        <v>754.58</v>
      </c>
      <c r="P155">
        <v>-124.81</v>
      </c>
      <c r="Q155" t="s">
        <v>87</v>
      </c>
      <c r="R155" t="s">
        <v>72</v>
      </c>
    </row>
    <row r="156" spans="1:18" x14ac:dyDescent="0.3">
      <c r="A156" t="s">
        <v>508</v>
      </c>
      <c r="B156" t="s">
        <v>509</v>
      </c>
      <c r="C156" t="s">
        <v>510</v>
      </c>
      <c r="D156" t="s">
        <v>34</v>
      </c>
      <c r="E156" t="s">
        <v>22</v>
      </c>
      <c r="F156" t="s">
        <v>67</v>
      </c>
      <c r="G156" t="s">
        <v>24</v>
      </c>
      <c r="H156" t="s">
        <v>25</v>
      </c>
      <c r="I156" t="s">
        <v>78</v>
      </c>
      <c r="J156" t="s">
        <v>93</v>
      </c>
      <c r="K156" t="s">
        <v>110</v>
      </c>
      <c r="L156">
        <v>3</v>
      </c>
      <c r="M156">
        <v>296.86</v>
      </c>
      <c r="N156">
        <v>0.1</v>
      </c>
      <c r="O156">
        <v>801.52</v>
      </c>
      <c r="P156">
        <v>-100.53</v>
      </c>
      <c r="Q156" t="s">
        <v>55</v>
      </c>
      <c r="R156" t="s">
        <v>30</v>
      </c>
    </row>
    <row r="157" spans="1:18" x14ac:dyDescent="0.3">
      <c r="A157" t="s">
        <v>511</v>
      </c>
      <c r="B157" t="s">
        <v>487</v>
      </c>
      <c r="C157" t="s">
        <v>512</v>
      </c>
      <c r="D157" t="s">
        <v>76</v>
      </c>
      <c r="E157" t="s">
        <v>45</v>
      </c>
      <c r="F157" t="s">
        <v>67</v>
      </c>
      <c r="G157" t="s">
        <v>47</v>
      </c>
      <c r="H157" t="s">
        <v>164</v>
      </c>
      <c r="I157" t="s">
        <v>38</v>
      </c>
      <c r="J157" t="s">
        <v>60</v>
      </c>
      <c r="K157" t="s">
        <v>61</v>
      </c>
      <c r="L157">
        <v>7</v>
      </c>
      <c r="M157">
        <v>243.11</v>
      </c>
      <c r="N157">
        <v>0.05</v>
      </c>
      <c r="O157">
        <v>1616.68</v>
      </c>
      <c r="P157">
        <v>-106.93</v>
      </c>
      <c r="Q157" t="s">
        <v>29</v>
      </c>
      <c r="R157" t="s">
        <v>30</v>
      </c>
    </row>
    <row r="158" spans="1:18" x14ac:dyDescent="0.3">
      <c r="A158" t="s">
        <v>513</v>
      </c>
      <c r="B158" t="s">
        <v>514</v>
      </c>
      <c r="C158" t="s">
        <v>515</v>
      </c>
      <c r="D158" t="s">
        <v>147</v>
      </c>
      <c r="E158" t="s">
        <v>35</v>
      </c>
      <c r="F158" t="s">
        <v>53</v>
      </c>
      <c r="G158" t="s">
        <v>36</v>
      </c>
      <c r="H158" t="s">
        <v>54</v>
      </c>
      <c r="I158" t="s">
        <v>26</v>
      </c>
      <c r="J158" t="s">
        <v>27</v>
      </c>
      <c r="K158" t="s">
        <v>179</v>
      </c>
      <c r="L158">
        <v>4</v>
      </c>
      <c r="M158">
        <v>99.09</v>
      </c>
      <c r="N158">
        <v>0</v>
      </c>
      <c r="O158">
        <v>396.36</v>
      </c>
      <c r="P158">
        <v>36.950000000000003</v>
      </c>
      <c r="Q158" t="s">
        <v>87</v>
      </c>
      <c r="R158" t="s">
        <v>62</v>
      </c>
    </row>
    <row r="159" spans="1:18" x14ac:dyDescent="0.3">
      <c r="A159" t="s">
        <v>516</v>
      </c>
      <c r="B159" t="s">
        <v>517</v>
      </c>
      <c r="C159" t="s">
        <v>167</v>
      </c>
      <c r="D159" t="s">
        <v>52</v>
      </c>
      <c r="E159" t="s">
        <v>45</v>
      </c>
      <c r="F159" t="s">
        <v>67</v>
      </c>
      <c r="G159" t="s">
        <v>24</v>
      </c>
      <c r="H159" t="s">
        <v>125</v>
      </c>
      <c r="I159" t="s">
        <v>26</v>
      </c>
      <c r="J159" t="s">
        <v>70</v>
      </c>
      <c r="K159" t="s">
        <v>86</v>
      </c>
      <c r="L159">
        <v>5</v>
      </c>
      <c r="M159">
        <v>111.5</v>
      </c>
      <c r="N159">
        <v>0.3</v>
      </c>
      <c r="O159">
        <v>390.25</v>
      </c>
      <c r="P159">
        <v>33.18</v>
      </c>
      <c r="Q159" t="s">
        <v>55</v>
      </c>
      <c r="R159" t="s">
        <v>72</v>
      </c>
    </row>
    <row r="160" spans="1:18" x14ac:dyDescent="0.3">
      <c r="A160" t="s">
        <v>518</v>
      </c>
      <c r="B160" t="s">
        <v>519</v>
      </c>
      <c r="C160" t="s">
        <v>318</v>
      </c>
      <c r="D160" t="s">
        <v>66</v>
      </c>
      <c r="E160" t="s">
        <v>22</v>
      </c>
      <c r="F160" t="s">
        <v>23</v>
      </c>
      <c r="G160" t="s">
        <v>24</v>
      </c>
      <c r="H160" t="s">
        <v>25</v>
      </c>
      <c r="I160" t="s">
        <v>78</v>
      </c>
      <c r="J160" t="s">
        <v>79</v>
      </c>
      <c r="K160" t="s">
        <v>143</v>
      </c>
      <c r="L160">
        <v>3</v>
      </c>
      <c r="M160">
        <v>284.69</v>
      </c>
      <c r="N160">
        <v>0.15</v>
      </c>
      <c r="O160">
        <v>725.96</v>
      </c>
      <c r="P160">
        <v>54.95</v>
      </c>
      <c r="Q160" t="s">
        <v>41</v>
      </c>
      <c r="R160" t="s">
        <v>72</v>
      </c>
    </row>
    <row r="161" spans="1:18" x14ac:dyDescent="0.3">
      <c r="A161" t="s">
        <v>520</v>
      </c>
      <c r="B161" t="s">
        <v>521</v>
      </c>
      <c r="C161" t="s">
        <v>363</v>
      </c>
      <c r="D161" t="s">
        <v>91</v>
      </c>
      <c r="E161" t="s">
        <v>22</v>
      </c>
      <c r="F161" t="s">
        <v>67</v>
      </c>
      <c r="G161" t="s">
        <v>84</v>
      </c>
      <c r="H161" t="s">
        <v>131</v>
      </c>
      <c r="I161" t="s">
        <v>78</v>
      </c>
      <c r="J161" t="s">
        <v>93</v>
      </c>
      <c r="K161" t="s">
        <v>202</v>
      </c>
      <c r="L161">
        <v>3</v>
      </c>
      <c r="M161">
        <v>341.45</v>
      </c>
      <c r="N161">
        <v>0.15</v>
      </c>
      <c r="O161">
        <v>870.7</v>
      </c>
      <c r="P161">
        <v>-60.21</v>
      </c>
      <c r="Q161" t="s">
        <v>29</v>
      </c>
      <c r="R161" t="s">
        <v>72</v>
      </c>
    </row>
    <row r="162" spans="1:18" x14ac:dyDescent="0.3">
      <c r="A162" t="s">
        <v>522</v>
      </c>
      <c r="B162" t="s">
        <v>523</v>
      </c>
      <c r="C162" t="s">
        <v>524</v>
      </c>
      <c r="D162" t="s">
        <v>120</v>
      </c>
      <c r="E162" t="s">
        <v>45</v>
      </c>
      <c r="F162" t="s">
        <v>53</v>
      </c>
      <c r="G162" t="s">
        <v>36</v>
      </c>
      <c r="H162" t="s">
        <v>54</v>
      </c>
      <c r="I162" t="s">
        <v>78</v>
      </c>
      <c r="J162" t="s">
        <v>93</v>
      </c>
      <c r="K162" t="s">
        <v>110</v>
      </c>
      <c r="L162">
        <v>7</v>
      </c>
      <c r="M162">
        <v>115.34</v>
      </c>
      <c r="N162">
        <v>0.05</v>
      </c>
      <c r="O162">
        <v>767.01</v>
      </c>
      <c r="P162">
        <v>-21.54</v>
      </c>
      <c r="Q162" t="s">
        <v>55</v>
      </c>
      <c r="R162" t="s">
        <v>30</v>
      </c>
    </row>
    <row r="163" spans="1:18" x14ac:dyDescent="0.3">
      <c r="A163" t="s">
        <v>525</v>
      </c>
      <c r="B163" t="s">
        <v>526</v>
      </c>
      <c r="C163" t="s">
        <v>527</v>
      </c>
      <c r="D163" t="s">
        <v>52</v>
      </c>
      <c r="E163" t="s">
        <v>45</v>
      </c>
      <c r="F163" t="s">
        <v>67</v>
      </c>
      <c r="G163" t="s">
        <v>108</v>
      </c>
      <c r="H163" t="s">
        <v>115</v>
      </c>
      <c r="I163" t="s">
        <v>78</v>
      </c>
      <c r="J163" t="s">
        <v>79</v>
      </c>
      <c r="K163" t="s">
        <v>378</v>
      </c>
      <c r="L163">
        <v>1</v>
      </c>
      <c r="M163">
        <v>394.14</v>
      </c>
      <c r="N163">
        <v>0.05</v>
      </c>
      <c r="O163">
        <v>374.43</v>
      </c>
      <c r="P163">
        <v>71.19</v>
      </c>
      <c r="Q163" t="s">
        <v>41</v>
      </c>
      <c r="R163" t="s">
        <v>30</v>
      </c>
    </row>
    <row r="164" spans="1:18" x14ac:dyDescent="0.3">
      <c r="A164" t="s">
        <v>528</v>
      </c>
      <c r="B164" t="s">
        <v>529</v>
      </c>
      <c r="C164" t="s">
        <v>530</v>
      </c>
      <c r="D164" t="s">
        <v>34</v>
      </c>
      <c r="E164" t="s">
        <v>35</v>
      </c>
      <c r="F164" t="s">
        <v>46</v>
      </c>
      <c r="G164" t="s">
        <v>108</v>
      </c>
      <c r="H164" t="s">
        <v>157</v>
      </c>
      <c r="I164" t="s">
        <v>38</v>
      </c>
      <c r="J164" t="s">
        <v>39</v>
      </c>
      <c r="K164" t="s">
        <v>165</v>
      </c>
      <c r="L164">
        <v>8</v>
      </c>
      <c r="M164">
        <v>412.18</v>
      </c>
      <c r="N164">
        <v>0.3</v>
      </c>
      <c r="O164">
        <v>2308.21</v>
      </c>
      <c r="P164">
        <v>226.26</v>
      </c>
      <c r="Q164" t="s">
        <v>87</v>
      </c>
      <c r="R164" t="s">
        <v>72</v>
      </c>
    </row>
    <row r="165" spans="1:18" x14ac:dyDescent="0.3">
      <c r="A165" t="s">
        <v>531</v>
      </c>
      <c r="B165" t="s">
        <v>532</v>
      </c>
      <c r="C165" t="s">
        <v>494</v>
      </c>
      <c r="D165" t="s">
        <v>66</v>
      </c>
      <c r="E165" t="s">
        <v>35</v>
      </c>
      <c r="F165" t="s">
        <v>46</v>
      </c>
      <c r="G165" t="s">
        <v>84</v>
      </c>
      <c r="H165" t="s">
        <v>131</v>
      </c>
      <c r="I165" t="s">
        <v>26</v>
      </c>
      <c r="J165" t="s">
        <v>70</v>
      </c>
      <c r="K165" t="s">
        <v>222</v>
      </c>
      <c r="L165">
        <v>5</v>
      </c>
      <c r="M165">
        <v>166.96</v>
      </c>
      <c r="N165">
        <v>0.15</v>
      </c>
      <c r="O165">
        <v>709.58</v>
      </c>
      <c r="P165">
        <v>24.38</v>
      </c>
      <c r="Q165" t="s">
        <v>87</v>
      </c>
      <c r="R165" t="s">
        <v>30</v>
      </c>
    </row>
    <row r="166" spans="1:18" x14ac:dyDescent="0.3">
      <c r="A166" t="s">
        <v>533</v>
      </c>
      <c r="B166" t="s">
        <v>534</v>
      </c>
      <c r="C166" t="s">
        <v>168</v>
      </c>
      <c r="D166" t="s">
        <v>91</v>
      </c>
      <c r="E166" t="s">
        <v>35</v>
      </c>
      <c r="F166" t="s">
        <v>67</v>
      </c>
      <c r="G166" t="s">
        <v>108</v>
      </c>
      <c r="H166" t="s">
        <v>157</v>
      </c>
      <c r="I166" t="s">
        <v>26</v>
      </c>
      <c r="J166" t="s">
        <v>70</v>
      </c>
      <c r="K166" t="s">
        <v>222</v>
      </c>
      <c r="L166">
        <v>1</v>
      </c>
      <c r="M166">
        <v>123.26</v>
      </c>
      <c r="N166">
        <v>0.2</v>
      </c>
      <c r="O166">
        <v>98.61</v>
      </c>
      <c r="P166">
        <v>8.52</v>
      </c>
      <c r="Q166" t="s">
        <v>55</v>
      </c>
      <c r="R166" t="s">
        <v>72</v>
      </c>
    </row>
    <row r="167" spans="1:18" x14ac:dyDescent="0.3">
      <c r="A167" t="s">
        <v>535</v>
      </c>
      <c r="B167" t="s">
        <v>536</v>
      </c>
      <c r="C167" t="s">
        <v>537</v>
      </c>
      <c r="D167" t="s">
        <v>120</v>
      </c>
      <c r="E167" t="s">
        <v>35</v>
      </c>
      <c r="F167" t="s">
        <v>46</v>
      </c>
      <c r="G167" t="s">
        <v>47</v>
      </c>
      <c r="H167" t="s">
        <v>164</v>
      </c>
      <c r="I167" t="s">
        <v>26</v>
      </c>
      <c r="J167" t="s">
        <v>70</v>
      </c>
      <c r="K167" t="s">
        <v>71</v>
      </c>
      <c r="L167">
        <v>6</v>
      </c>
      <c r="M167">
        <v>121.74</v>
      </c>
      <c r="N167">
        <v>0.15</v>
      </c>
      <c r="O167">
        <v>620.87</v>
      </c>
      <c r="P167">
        <v>164.28</v>
      </c>
      <c r="Q167" t="s">
        <v>55</v>
      </c>
      <c r="R167" t="s">
        <v>72</v>
      </c>
    </row>
    <row r="168" spans="1:18" x14ac:dyDescent="0.3">
      <c r="A168" t="s">
        <v>538</v>
      </c>
      <c r="B168" t="s">
        <v>134</v>
      </c>
      <c r="C168" t="s">
        <v>539</v>
      </c>
      <c r="D168" t="s">
        <v>147</v>
      </c>
      <c r="E168" t="s">
        <v>45</v>
      </c>
      <c r="F168" t="s">
        <v>67</v>
      </c>
      <c r="G168" t="s">
        <v>108</v>
      </c>
      <c r="H168" t="s">
        <v>157</v>
      </c>
      <c r="I168" t="s">
        <v>38</v>
      </c>
      <c r="J168" t="s">
        <v>39</v>
      </c>
      <c r="K168" t="s">
        <v>40</v>
      </c>
      <c r="L168">
        <v>-3</v>
      </c>
      <c r="M168">
        <v>378.87</v>
      </c>
      <c r="N168">
        <v>0</v>
      </c>
      <c r="O168">
        <v>378.87</v>
      </c>
      <c r="P168">
        <v>96.53</v>
      </c>
      <c r="Q168" t="s">
        <v>55</v>
      </c>
      <c r="R168" t="s">
        <v>30</v>
      </c>
    </row>
    <row r="169" spans="1:18" x14ac:dyDescent="0.3">
      <c r="A169" t="s">
        <v>540</v>
      </c>
      <c r="B169" t="s">
        <v>541</v>
      </c>
      <c r="C169" t="s">
        <v>542</v>
      </c>
      <c r="D169" t="s">
        <v>120</v>
      </c>
      <c r="E169" t="s">
        <v>35</v>
      </c>
      <c r="F169" t="s">
        <v>53</v>
      </c>
      <c r="G169" t="s">
        <v>24</v>
      </c>
      <c r="H169" t="s">
        <v>125</v>
      </c>
      <c r="I169" t="s">
        <v>26</v>
      </c>
      <c r="J169" t="s">
        <v>27</v>
      </c>
      <c r="K169" t="s">
        <v>139</v>
      </c>
      <c r="L169">
        <v>8</v>
      </c>
      <c r="M169">
        <v>172.95</v>
      </c>
      <c r="N169">
        <v>0.2</v>
      </c>
      <c r="O169">
        <v>1106.8800000000001</v>
      </c>
      <c r="P169">
        <v>125.47</v>
      </c>
      <c r="Q169" t="s">
        <v>87</v>
      </c>
      <c r="R169" t="s">
        <v>30</v>
      </c>
    </row>
    <row r="170" spans="1:18" x14ac:dyDescent="0.3">
      <c r="A170" t="s">
        <v>543</v>
      </c>
      <c r="B170" t="s">
        <v>544</v>
      </c>
      <c r="C170" t="s">
        <v>545</v>
      </c>
      <c r="D170" t="s">
        <v>21</v>
      </c>
      <c r="E170" t="s">
        <v>35</v>
      </c>
      <c r="F170" t="s">
        <v>67</v>
      </c>
      <c r="G170" t="s">
        <v>108</v>
      </c>
      <c r="H170" t="s">
        <v>109</v>
      </c>
      <c r="I170" t="s">
        <v>38</v>
      </c>
      <c r="J170" t="s">
        <v>60</v>
      </c>
      <c r="K170" t="s">
        <v>116</v>
      </c>
      <c r="L170">
        <v>5</v>
      </c>
      <c r="M170">
        <v>15.58</v>
      </c>
      <c r="N170">
        <v>0.3</v>
      </c>
      <c r="O170">
        <v>54.53</v>
      </c>
      <c r="P170">
        <v>7.09</v>
      </c>
      <c r="Q170" t="s">
        <v>55</v>
      </c>
      <c r="R170" t="s">
        <v>56</v>
      </c>
    </row>
    <row r="171" spans="1:18" x14ac:dyDescent="0.3">
      <c r="A171" t="s">
        <v>546</v>
      </c>
      <c r="B171" t="s">
        <v>171</v>
      </c>
      <c r="C171" t="s">
        <v>547</v>
      </c>
      <c r="D171" t="s">
        <v>91</v>
      </c>
      <c r="E171" t="s">
        <v>22</v>
      </c>
      <c r="F171" t="s">
        <v>53</v>
      </c>
      <c r="G171" t="s">
        <v>47</v>
      </c>
      <c r="H171" t="s">
        <v>121</v>
      </c>
      <c r="I171" t="s">
        <v>78</v>
      </c>
      <c r="J171" t="s">
        <v>79</v>
      </c>
      <c r="K171" t="s">
        <v>143</v>
      </c>
      <c r="L171">
        <v>6</v>
      </c>
      <c r="M171">
        <v>432.01</v>
      </c>
      <c r="N171">
        <v>0.15</v>
      </c>
      <c r="O171">
        <v>2203.25</v>
      </c>
      <c r="P171">
        <v>176.04</v>
      </c>
      <c r="Q171" t="s">
        <v>29</v>
      </c>
      <c r="R171" t="s">
        <v>30</v>
      </c>
    </row>
    <row r="172" spans="1:18" x14ac:dyDescent="0.3">
      <c r="A172" t="s">
        <v>548</v>
      </c>
      <c r="B172" t="s">
        <v>549</v>
      </c>
      <c r="C172" t="s">
        <v>89</v>
      </c>
      <c r="D172" t="s">
        <v>120</v>
      </c>
      <c r="E172" t="s">
        <v>45</v>
      </c>
      <c r="F172" t="s">
        <v>46</v>
      </c>
      <c r="G172" t="s">
        <v>47</v>
      </c>
      <c r="H172" t="s">
        <v>164</v>
      </c>
      <c r="I172" t="s">
        <v>78</v>
      </c>
      <c r="J172" t="s">
        <v>93</v>
      </c>
      <c r="K172" t="s">
        <v>110</v>
      </c>
      <c r="L172">
        <v>8</v>
      </c>
      <c r="M172">
        <v>32.799999999999997</v>
      </c>
      <c r="N172">
        <v>0</v>
      </c>
      <c r="O172">
        <v>262.39999999999998</v>
      </c>
      <c r="P172">
        <v>37.6</v>
      </c>
      <c r="Q172" t="s">
        <v>29</v>
      </c>
      <c r="R172" t="s">
        <v>30</v>
      </c>
    </row>
    <row r="173" spans="1:18" x14ac:dyDescent="0.3">
      <c r="A173" t="s">
        <v>550</v>
      </c>
      <c r="B173" t="s">
        <v>209</v>
      </c>
      <c r="C173" t="s">
        <v>551</v>
      </c>
      <c r="D173" t="s">
        <v>147</v>
      </c>
      <c r="E173" t="s">
        <v>35</v>
      </c>
      <c r="F173" t="s">
        <v>46</v>
      </c>
      <c r="G173" t="s">
        <v>108</v>
      </c>
      <c r="H173" t="s">
        <v>115</v>
      </c>
      <c r="I173" t="s">
        <v>38</v>
      </c>
      <c r="J173" t="s">
        <v>39</v>
      </c>
      <c r="K173" t="s">
        <v>98</v>
      </c>
      <c r="L173">
        <v>8</v>
      </c>
      <c r="M173">
        <v>127.82</v>
      </c>
      <c r="N173">
        <v>0</v>
      </c>
      <c r="O173">
        <v>1022.56</v>
      </c>
      <c r="P173">
        <v>137.88</v>
      </c>
      <c r="Q173" t="s">
        <v>55</v>
      </c>
      <c r="R173" t="s">
        <v>62</v>
      </c>
    </row>
    <row r="174" spans="1:18" x14ac:dyDescent="0.3">
      <c r="A174" t="s">
        <v>552</v>
      </c>
      <c r="B174" t="s">
        <v>142</v>
      </c>
      <c r="C174" t="s">
        <v>553</v>
      </c>
      <c r="D174" t="s">
        <v>66</v>
      </c>
      <c r="E174" t="s">
        <v>45</v>
      </c>
      <c r="F174" t="s">
        <v>67</v>
      </c>
      <c r="G174" t="s">
        <v>24</v>
      </c>
      <c r="H174" t="s">
        <v>59</v>
      </c>
      <c r="I174" t="s">
        <v>26</v>
      </c>
      <c r="J174" t="s">
        <v>27</v>
      </c>
      <c r="K174" t="s">
        <v>139</v>
      </c>
      <c r="L174">
        <v>3</v>
      </c>
      <c r="M174">
        <v>257.27</v>
      </c>
      <c r="N174">
        <v>0.2</v>
      </c>
      <c r="O174">
        <v>617.45000000000005</v>
      </c>
      <c r="P174">
        <v>125.92</v>
      </c>
      <c r="Q174" t="s">
        <v>29</v>
      </c>
      <c r="R174" t="s">
        <v>56</v>
      </c>
    </row>
    <row r="175" spans="1:18" x14ac:dyDescent="0.3">
      <c r="A175" t="s">
        <v>554</v>
      </c>
      <c r="B175" t="s">
        <v>555</v>
      </c>
      <c r="C175" t="s">
        <v>556</v>
      </c>
      <c r="D175" t="s">
        <v>66</v>
      </c>
      <c r="E175" t="s">
        <v>35</v>
      </c>
      <c r="F175" t="s">
        <v>46</v>
      </c>
      <c r="G175" t="s">
        <v>47</v>
      </c>
      <c r="H175" t="s">
        <v>121</v>
      </c>
      <c r="I175" t="s">
        <v>38</v>
      </c>
      <c r="J175" t="s">
        <v>60</v>
      </c>
      <c r="K175" t="s">
        <v>132</v>
      </c>
      <c r="L175">
        <v>2</v>
      </c>
      <c r="M175">
        <v>158.54</v>
      </c>
      <c r="N175">
        <v>0.2</v>
      </c>
      <c r="O175">
        <v>253.66</v>
      </c>
      <c r="P175">
        <v>65.760000000000005</v>
      </c>
      <c r="Q175" t="s">
        <v>87</v>
      </c>
      <c r="R175" t="s">
        <v>62</v>
      </c>
    </row>
    <row r="176" spans="1:18" x14ac:dyDescent="0.3">
      <c r="A176" t="s">
        <v>557</v>
      </c>
      <c r="B176" t="s">
        <v>558</v>
      </c>
      <c r="C176" t="s">
        <v>559</v>
      </c>
      <c r="D176" t="s">
        <v>52</v>
      </c>
      <c r="E176" t="s">
        <v>22</v>
      </c>
      <c r="F176" t="s">
        <v>53</v>
      </c>
      <c r="G176" t="s">
        <v>47</v>
      </c>
      <c r="H176" t="s">
        <v>48</v>
      </c>
      <c r="I176" t="s">
        <v>78</v>
      </c>
      <c r="J176" t="s">
        <v>79</v>
      </c>
      <c r="K176" t="s">
        <v>80</v>
      </c>
      <c r="L176">
        <v>3</v>
      </c>
      <c r="M176">
        <v>308.43</v>
      </c>
      <c r="N176">
        <v>0.3</v>
      </c>
      <c r="O176">
        <v>647.70000000000005</v>
      </c>
      <c r="P176">
        <v>-3.35</v>
      </c>
      <c r="Q176" t="s">
        <v>41</v>
      </c>
      <c r="R176" t="s">
        <v>62</v>
      </c>
    </row>
    <row r="177" spans="1:18" x14ac:dyDescent="0.3">
      <c r="A177" t="s">
        <v>560</v>
      </c>
      <c r="B177" t="s">
        <v>561</v>
      </c>
      <c r="C177" t="s">
        <v>562</v>
      </c>
      <c r="D177" t="s">
        <v>120</v>
      </c>
      <c r="E177" t="s">
        <v>45</v>
      </c>
      <c r="F177" t="s">
        <v>46</v>
      </c>
      <c r="G177" t="s">
        <v>108</v>
      </c>
      <c r="H177" t="s">
        <v>157</v>
      </c>
      <c r="I177" t="s">
        <v>78</v>
      </c>
      <c r="J177" t="s">
        <v>93</v>
      </c>
      <c r="K177" t="s">
        <v>94</v>
      </c>
      <c r="L177">
        <v>7</v>
      </c>
      <c r="M177">
        <v>147.97</v>
      </c>
      <c r="N177">
        <v>0</v>
      </c>
      <c r="O177">
        <v>1035.79</v>
      </c>
      <c r="P177">
        <v>-142.84</v>
      </c>
      <c r="Q177" t="s">
        <v>55</v>
      </c>
      <c r="R177" t="s">
        <v>30</v>
      </c>
    </row>
    <row r="178" spans="1:18" x14ac:dyDescent="0.3">
      <c r="A178" t="s">
        <v>563</v>
      </c>
      <c r="B178" t="s">
        <v>564</v>
      </c>
      <c r="C178" t="s">
        <v>565</v>
      </c>
      <c r="D178" t="s">
        <v>66</v>
      </c>
      <c r="E178" t="s">
        <v>45</v>
      </c>
      <c r="F178" t="s">
        <v>53</v>
      </c>
      <c r="G178" t="s">
        <v>47</v>
      </c>
      <c r="H178" t="s">
        <v>164</v>
      </c>
      <c r="I178" t="s">
        <v>38</v>
      </c>
      <c r="J178" t="s">
        <v>39</v>
      </c>
      <c r="K178" t="s">
        <v>165</v>
      </c>
      <c r="L178">
        <v>7</v>
      </c>
      <c r="M178">
        <v>53.66</v>
      </c>
      <c r="N178">
        <v>0</v>
      </c>
      <c r="O178">
        <v>375.62</v>
      </c>
      <c r="P178">
        <v>-6.46</v>
      </c>
      <c r="Q178" t="s">
        <v>87</v>
      </c>
      <c r="R178" t="s">
        <v>72</v>
      </c>
    </row>
    <row r="179" spans="1:18" x14ac:dyDescent="0.3">
      <c r="A179" t="s">
        <v>566</v>
      </c>
      <c r="B179" t="s">
        <v>524</v>
      </c>
      <c r="C179" t="s">
        <v>567</v>
      </c>
      <c r="D179" t="s">
        <v>91</v>
      </c>
      <c r="E179" t="s">
        <v>45</v>
      </c>
      <c r="F179" t="s">
        <v>67</v>
      </c>
      <c r="G179" t="s">
        <v>68</v>
      </c>
      <c r="H179" t="s">
        <v>77</v>
      </c>
      <c r="I179" t="s">
        <v>38</v>
      </c>
      <c r="J179" t="s">
        <v>60</v>
      </c>
      <c r="K179" t="s">
        <v>116</v>
      </c>
      <c r="L179">
        <v>3</v>
      </c>
      <c r="M179">
        <v>310.91000000000003</v>
      </c>
      <c r="N179">
        <v>0.05</v>
      </c>
      <c r="O179">
        <v>886.09</v>
      </c>
      <c r="P179">
        <v>-102.9</v>
      </c>
      <c r="Q179" t="s">
        <v>55</v>
      </c>
      <c r="R179" t="s">
        <v>72</v>
      </c>
    </row>
    <row r="180" spans="1:18" x14ac:dyDescent="0.3">
      <c r="A180" t="s">
        <v>568</v>
      </c>
      <c r="B180" t="s">
        <v>569</v>
      </c>
      <c r="C180" t="s">
        <v>570</v>
      </c>
      <c r="D180" t="s">
        <v>52</v>
      </c>
      <c r="E180" t="s">
        <v>45</v>
      </c>
      <c r="F180" t="s">
        <v>53</v>
      </c>
      <c r="G180" t="s">
        <v>84</v>
      </c>
      <c r="H180" t="s">
        <v>131</v>
      </c>
      <c r="I180" t="s">
        <v>78</v>
      </c>
      <c r="J180" t="s">
        <v>79</v>
      </c>
      <c r="K180" t="s">
        <v>80</v>
      </c>
      <c r="L180">
        <v>2</v>
      </c>
      <c r="M180">
        <v>167.62</v>
      </c>
      <c r="N180">
        <v>0.05</v>
      </c>
      <c r="O180">
        <v>318.48</v>
      </c>
      <c r="P180">
        <v>48.29</v>
      </c>
      <c r="Q180" t="s">
        <v>41</v>
      </c>
      <c r="R180" t="s">
        <v>30</v>
      </c>
    </row>
    <row r="181" spans="1:18" x14ac:dyDescent="0.3">
      <c r="A181" t="s">
        <v>571</v>
      </c>
      <c r="B181" t="s">
        <v>162</v>
      </c>
      <c r="C181" t="s">
        <v>572</v>
      </c>
      <c r="D181" t="s">
        <v>91</v>
      </c>
      <c r="E181" t="s">
        <v>45</v>
      </c>
      <c r="F181" t="s">
        <v>67</v>
      </c>
      <c r="G181" t="s">
        <v>36</v>
      </c>
      <c r="H181" t="s">
        <v>92</v>
      </c>
      <c r="I181" t="s">
        <v>78</v>
      </c>
      <c r="J181" t="s">
        <v>93</v>
      </c>
      <c r="K181" t="s">
        <v>202</v>
      </c>
      <c r="L181">
        <v>6</v>
      </c>
      <c r="M181">
        <v>202.58</v>
      </c>
      <c r="N181">
        <v>0.15</v>
      </c>
      <c r="O181">
        <v>1033.1600000000001</v>
      </c>
      <c r="P181">
        <v>201.59</v>
      </c>
      <c r="Q181" t="s">
        <v>41</v>
      </c>
      <c r="R181" t="s">
        <v>62</v>
      </c>
    </row>
    <row r="182" spans="1:18" x14ac:dyDescent="0.3">
      <c r="A182" t="s">
        <v>573</v>
      </c>
      <c r="B182" t="s">
        <v>447</v>
      </c>
      <c r="C182" t="s">
        <v>258</v>
      </c>
      <c r="D182" t="s">
        <v>34</v>
      </c>
      <c r="E182" t="s">
        <v>45</v>
      </c>
      <c r="F182" t="s">
        <v>53</v>
      </c>
      <c r="G182" t="s">
        <v>84</v>
      </c>
      <c r="H182" t="s">
        <v>201</v>
      </c>
      <c r="I182" t="s">
        <v>78</v>
      </c>
      <c r="J182" t="s">
        <v>93</v>
      </c>
      <c r="K182" t="s">
        <v>110</v>
      </c>
      <c r="L182">
        <v>8</v>
      </c>
      <c r="M182">
        <v>435.75</v>
      </c>
      <c r="N182">
        <v>0.05</v>
      </c>
      <c r="O182">
        <v>3311.7</v>
      </c>
      <c r="P182">
        <v>-99.66</v>
      </c>
      <c r="Q182" t="s">
        <v>55</v>
      </c>
      <c r="R182" t="s">
        <v>62</v>
      </c>
    </row>
    <row r="183" spans="1:18" x14ac:dyDescent="0.3">
      <c r="A183" t="s">
        <v>574</v>
      </c>
      <c r="B183" t="s">
        <v>266</v>
      </c>
      <c r="C183" t="s">
        <v>575</v>
      </c>
      <c r="D183" t="s">
        <v>21</v>
      </c>
      <c r="E183" t="s">
        <v>45</v>
      </c>
      <c r="F183" t="s">
        <v>23</v>
      </c>
      <c r="G183" t="s">
        <v>24</v>
      </c>
      <c r="H183" t="s">
        <v>25</v>
      </c>
      <c r="I183" t="s">
        <v>26</v>
      </c>
      <c r="J183" t="s">
        <v>27</v>
      </c>
      <c r="K183" t="s">
        <v>28</v>
      </c>
      <c r="L183">
        <v>8</v>
      </c>
      <c r="M183">
        <v>424.79</v>
      </c>
      <c r="N183">
        <v>0.05</v>
      </c>
      <c r="O183">
        <v>3228.4</v>
      </c>
      <c r="P183">
        <v>70.02</v>
      </c>
      <c r="Q183" t="s">
        <v>41</v>
      </c>
      <c r="R183" t="s">
        <v>62</v>
      </c>
    </row>
    <row r="184" spans="1:18" x14ac:dyDescent="0.3">
      <c r="A184" t="s">
        <v>576</v>
      </c>
      <c r="B184" t="s">
        <v>577</v>
      </c>
      <c r="C184" t="s">
        <v>578</v>
      </c>
      <c r="D184" t="s">
        <v>34</v>
      </c>
      <c r="E184" t="s">
        <v>22</v>
      </c>
      <c r="F184" t="s">
        <v>23</v>
      </c>
      <c r="G184" t="s">
        <v>68</v>
      </c>
      <c r="H184" t="s">
        <v>77</v>
      </c>
      <c r="I184" t="s">
        <v>78</v>
      </c>
      <c r="J184" t="s">
        <v>79</v>
      </c>
      <c r="K184" t="s">
        <v>143</v>
      </c>
      <c r="L184">
        <v>7</v>
      </c>
      <c r="M184">
        <v>356.77</v>
      </c>
      <c r="N184">
        <v>0</v>
      </c>
      <c r="O184">
        <v>2497.39</v>
      </c>
      <c r="P184">
        <v>66.36</v>
      </c>
      <c r="Q184" t="s">
        <v>29</v>
      </c>
      <c r="R184" t="s">
        <v>56</v>
      </c>
    </row>
    <row r="185" spans="1:18" x14ac:dyDescent="0.3">
      <c r="A185" t="s">
        <v>579</v>
      </c>
      <c r="B185" t="s">
        <v>580</v>
      </c>
      <c r="C185" t="s">
        <v>134</v>
      </c>
      <c r="D185" t="s">
        <v>76</v>
      </c>
      <c r="E185" t="s">
        <v>22</v>
      </c>
      <c r="F185" t="s">
        <v>53</v>
      </c>
      <c r="G185" t="s">
        <v>36</v>
      </c>
      <c r="H185" t="s">
        <v>37</v>
      </c>
      <c r="I185" t="s">
        <v>26</v>
      </c>
      <c r="J185" t="s">
        <v>27</v>
      </c>
      <c r="K185" t="s">
        <v>139</v>
      </c>
      <c r="L185">
        <v>2</v>
      </c>
      <c r="M185">
        <v>-25.5</v>
      </c>
      <c r="N185">
        <v>0.05</v>
      </c>
      <c r="O185">
        <v>107.05</v>
      </c>
      <c r="P185">
        <v>13.11</v>
      </c>
      <c r="Q185" t="s">
        <v>87</v>
      </c>
      <c r="R185" t="s">
        <v>56</v>
      </c>
    </row>
    <row r="186" spans="1:18" x14ac:dyDescent="0.3">
      <c r="A186" t="s">
        <v>581</v>
      </c>
      <c r="B186" t="s">
        <v>582</v>
      </c>
      <c r="C186" t="s">
        <v>583</v>
      </c>
      <c r="D186" t="s">
        <v>120</v>
      </c>
      <c r="E186" t="s">
        <v>45</v>
      </c>
      <c r="F186" t="s">
        <v>23</v>
      </c>
      <c r="G186" t="s">
        <v>24</v>
      </c>
      <c r="H186" t="s">
        <v>125</v>
      </c>
      <c r="I186" t="s">
        <v>78</v>
      </c>
      <c r="J186" t="s">
        <v>93</v>
      </c>
      <c r="K186" t="s">
        <v>202</v>
      </c>
      <c r="L186">
        <v>5</v>
      </c>
      <c r="M186">
        <v>106.12</v>
      </c>
      <c r="N186">
        <v>0.3</v>
      </c>
      <c r="O186">
        <v>371.42</v>
      </c>
      <c r="P186">
        <v>21.78</v>
      </c>
      <c r="Q186" t="s">
        <v>55</v>
      </c>
      <c r="R186" t="s">
        <v>56</v>
      </c>
    </row>
    <row r="187" spans="1:18" x14ac:dyDescent="0.3">
      <c r="A187" t="s">
        <v>584</v>
      </c>
      <c r="B187" t="s">
        <v>585</v>
      </c>
      <c r="C187" t="s">
        <v>103</v>
      </c>
      <c r="D187" t="s">
        <v>66</v>
      </c>
      <c r="E187" t="s">
        <v>45</v>
      </c>
      <c r="F187" t="s">
        <v>46</v>
      </c>
      <c r="G187" t="s">
        <v>24</v>
      </c>
      <c r="H187" t="s">
        <v>59</v>
      </c>
      <c r="I187" t="s">
        <v>38</v>
      </c>
      <c r="J187" t="s">
        <v>60</v>
      </c>
      <c r="K187" t="s">
        <v>132</v>
      </c>
      <c r="L187">
        <v>7</v>
      </c>
      <c r="M187">
        <v>414.88</v>
      </c>
      <c r="N187">
        <v>0</v>
      </c>
      <c r="O187">
        <v>2904.16</v>
      </c>
      <c r="P187">
        <v>-367.69</v>
      </c>
      <c r="Q187" t="s">
        <v>55</v>
      </c>
      <c r="R187" t="s">
        <v>72</v>
      </c>
    </row>
    <row r="188" spans="1:18" x14ac:dyDescent="0.3">
      <c r="A188" t="s">
        <v>586</v>
      </c>
      <c r="B188" t="s">
        <v>587</v>
      </c>
      <c r="C188" t="s">
        <v>588</v>
      </c>
      <c r="D188" t="s">
        <v>147</v>
      </c>
      <c r="E188" t="s">
        <v>45</v>
      </c>
      <c r="F188" t="s">
        <v>53</v>
      </c>
      <c r="G188" t="s">
        <v>24</v>
      </c>
      <c r="H188" t="s">
        <v>59</v>
      </c>
      <c r="I188" t="s">
        <v>78</v>
      </c>
      <c r="J188" t="s">
        <v>79</v>
      </c>
      <c r="K188" t="s">
        <v>143</v>
      </c>
      <c r="L188">
        <v>8</v>
      </c>
      <c r="M188">
        <v>148.96</v>
      </c>
      <c r="N188">
        <v>0.1</v>
      </c>
      <c r="O188">
        <v>1072.51</v>
      </c>
      <c r="P188">
        <v>-171.01</v>
      </c>
      <c r="Q188" t="s">
        <v>55</v>
      </c>
      <c r="R188" t="s">
        <v>62</v>
      </c>
    </row>
    <row r="189" spans="1:18" x14ac:dyDescent="0.3">
      <c r="A189" t="s">
        <v>589</v>
      </c>
      <c r="B189" t="s">
        <v>590</v>
      </c>
      <c r="C189" t="s">
        <v>249</v>
      </c>
      <c r="D189" t="s">
        <v>76</v>
      </c>
      <c r="E189" t="s">
        <v>35</v>
      </c>
      <c r="F189" t="s">
        <v>23</v>
      </c>
      <c r="G189" t="s">
        <v>36</v>
      </c>
      <c r="H189" t="s">
        <v>54</v>
      </c>
      <c r="I189" t="s">
        <v>26</v>
      </c>
      <c r="J189" t="s">
        <v>70</v>
      </c>
      <c r="K189" t="s">
        <v>222</v>
      </c>
      <c r="L189">
        <v>6</v>
      </c>
      <c r="M189">
        <v>255.45</v>
      </c>
      <c r="N189">
        <v>0.15</v>
      </c>
      <c r="O189">
        <v>1302.79</v>
      </c>
      <c r="P189">
        <v>-95.56</v>
      </c>
      <c r="Q189" t="s">
        <v>29</v>
      </c>
      <c r="R189" t="s">
        <v>62</v>
      </c>
    </row>
    <row r="190" spans="1:18" x14ac:dyDescent="0.3">
      <c r="A190" t="s">
        <v>591</v>
      </c>
      <c r="B190" t="s">
        <v>592</v>
      </c>
      <c r="C190" t="s">
        <v>593</v>
      </c>
      <c r="D190" t="s">
        <v>21</v>
      </c>
      <c r="E190" t="s">
        <v>22</v>
      </c>
      <c r="F190" t="s">
        <v>67</v>
      </c>
      <c r="G190" t="s">
        <v>47</v>
      </c>
      <c r="H190" t="s">
        <v>48</v>
      </c>
      <c r="I190" t="s">
        <v>78</v>
      </c>
      <c r="J190" t="s">
        <v>93</v>
      </c>
      <c r="K190" t="s">
        <v>202</v>
      </c>
      <c r="L190">
        <v>1</v>
      </c>
      <c r="M190">
        <v>319.49</v>
      </c>
      <c r="N190">
        <v>0.05</v>
      </c>
      <c r="O190">
        <v>303.52</v>
      </c>
      <c r="P190">
        <v>-15.77</v>
      </c>
      <c r="Q190" t="s">
        <v>41</v>
      </c>
      <c r="R190" t="s">
        <v>62</v>
      </c>
    </row>
    <row r="191" spans="1:18" x14ac:dyDescent="0.3">
      <c r="A191" t="s">
        <v>594</v>
      </c>
      <c r="B191" t="s">
        <v>271</v>
      </c>
      <c r="C191" t="s">
        <v>20</v>
      </c>
      <c r="D191" t="s">
        <v>34</v>
      </c>
      <c r="E191" t="s">
        <v>22</v>
      </c>
      <c r="F191" t="s">
        <v>53</v>
      </c>
      <c r="G191" t="s">
        <v>84</v>
      </c>
      <c r="H191" t="s">
        <v>201</v>
      </c>
      <c r="I191" t="s">
        <v>78</v>
      </c>
      <c r="J191" t="s">
        <v>93</v>
      </c>
      <c r="K191" t="s">
        <v>202</v>
      </c>
      <c r="L191">
        <v>8</v>
      </c>
      <c r="M191">
        <v>241.25</v>
      </c>
      <c r="N191">
        <v>0.3</v>
      </c>
      <c r="O191">
        <v>1351</v>
      </c>
      <c r="P191">
        <v>-48.41</v>
      </c>
      <c r="Q191" t="s">
        <v>41</v>
      </c>
      <c r="R191" t="s">
        <v>72</v>
      </c>
    </row>
    <row r="192" spans="1:18" x14ac:dyDescent="0.3">
      <c r="A192" t="s">
        <v>595</v>
      </c>
      <c r="B192" t="s">
        <v>596</v>
      </c>
      <c r="C192" t="s">
        <v>597</v>
      </c>
      <c r="D192" t="s">
        <v>66</v>
      </c>
      <c r="E192" t="s">
        <v>35</v>
      </c>
      <c r="F192" t="s">
        <v>67</v>
      </c>
      <c r="G192" t="s">
        <v>108</v>
      </c>
      <c r="H192" t="s">
        <v>115</v>
      </c>
      <c r="I192" t="s">
        <v>26</v>
      </c>
      <c r="J192" t="s">
        <v>70</v>
      </c>
      <c r="K192" t="s">
        <v>222</v>
      </c>
      <c r="L192">
        <v>5</v>
      </c>
      <c r="M192">
        <v>414.06</v>
      </c>
      <c r="N192">
        <v>0.2</v>
      </c>
      <c r="O192">
        <v>1656.24</v>
      </c>
      <c r="P192">
        <v>-233.55</v>
      </c>
      <c r="Q192" t="s">
        <v>29</v>
      </c>
      <c r="R192" t="s">
        <v>62</v>
      </c>
    </row>
    <row r="193" spans="1:18" x14ac:dyDescent="0.3">
      <c r="A193" t="s">
        <v>598</v>
      </c>
      <c r="B193" t="s">
        <v>475</v>
      </c>
      <c r="C193" t="s">
        <v>599</v>
      </c>
      <c r="D193" t="s">
        <v>76</v>
      </c>
      <c r="E193" t="s">
        <v>45</v>
      </c>
      <c r="F193" t="s">
        <v>67</v>
      </c>
      <c r="G193" t="s">
        <v>68</v>
      </c>
      <c r="H193" t="s">
        <v>77</v>
      </c>
      <c r="I193" t="s">
        <v>78</v>
      </c>
      <c r="J193" t="s">
        <v>79</v>
      </c>
      <c r="K193" t="s">
        <v>143</v>
      </c>
      <c r="L193">
        <v>7</v>
      </c>
      <c r="M193">
        <v>192.86</v>
      </c>
      <c r="N193">
        <v>0.05</v>
      </c>
      <c r="O193">
        <v>1282.52</v>
      </c>
      <c r="P193">
        <v>108.26</v>
      </c>
      <c r="Q193" t="s">
        <v>55</v>
      </c>
      <c r="R193" t="s">
        <v>72</v>
      </c>
    </row>
    <row r="194" spans="1:18" x14ac:dyDescent="0.3">
      <c r="A194" t="s">
        <v>600</v>
      </c>
      <c r="B194" t="s">
        <v>601</v>
      </c>
      <c r="C194" t="s">
        <v>602</v>
      </c>
      <c r="D194" t="s">
        <v>76</v>
      </c>
      <c r="E194" t="s">
        <v>35</v>
      </c>
      <c r="F194" t="s">
        <v>23</v>
      </c>
      <c r="G194" t="s">
        <v>68</v>
      </c>
      <c r="H194" t="s">
        <v>69</v>
      </c>
      <c r="I194" t="s">
        <v>78</v>
      </c>
      <c r="J194" t="s">
        <v>79</v>
      </c>
      <c r="K194" t="s">
        <v>143</v>
      </c>
      <c r="L194">
        <v>8</v>
      </c>
      <c r="M194">
        <v>281.77999999999997</v>
      </c>
      <c r="N194">
        <v>0.1</v>
      </c>
      <c r="O194">
        <v>2028.82</v>
      </c>
      <c r="P194">
        <v>523.13</v>
      </c>
      <c r="Q194" t="s">
        <v>87</v>
      </c>
      <c r="R194" t="s">
        <v>72</v>
      </c>
    </row>
    <row r="195" spans="1:18" x14ac:dyDescent="0.3">
      <c r="A195" t="s">
        <v>603</v>
      </c>
      <c r="B195" t="s">
        <v>604</v>
      </c>
      <c r="C195" t="s">
        <v>263</v>
      </c>
      <c r="D195" t="s">
        <v>91</v>
      </c>
      <c r="E195" t="s">
        <v>35</v>
      </c>
      <c r="F195" t="s">
        <v>46</v>
      </c>
      <c r="G195" t="s">
        <v>47</v>
      </c>
      <c r="H195" t="s">
        <v>164</v>
      </c>
      <c r="I195" t="s">
        <v>26</v>
      </c>
      <c r="J195" t="s">
        <v>27</v>
      </c>
      <c r="K195" t="s">
        <v>28</v>
      </c>
      <c r="L195">
        <v>8</v>
      </c>
      <c r="M195">
        <v>224.01</v>
      </c>
      <c r="N195">
        <v>0</v>
      </c>
      <c r="O195">
        <v>1792.08</v>
      </c>
      <c r="P195">
        <v>143.52000000000001</v>
      </c>
      <c r="Q195" t="s">
        <v>41</v>
      </c>
      <c r="R195" t="s">
        <v>62</v>
      </c>
    </row>
    <row r="196" spans="1:18" x14ac:dyDescent="0.3">
      <c r="A196" t="s">
        <v>605</v>
      </c>
      <c r="B196" t="s">
        <v>606</v>
      </c>
      <c r="C196" t="s">
        <v>607</v>
      </c>
      <c r="D196" t="s">
        <v>147</v>
      </c>
      <c r="E196" t="s">
        <v>22</v>
      </c>
      <c r="F196" t="s">
        <v>23</v>
      </c>
      <c r="G196" t="s">
        <v>108</v>
      </c>
      <c r="H196" t="s">
        <v>109</v>
      </c>
      <c r="I196" t="s">
        <v>78</v>
      </c>
      <c r="J196" t="s">
        <v>93</v>
      </c>
      <c r="K196" t="s">
        <v>110</v>
      </c>
      <c r="L196">
        <v>2</v>
      </c>
      <c r="M196">
        <v>261.14</v>
      </c>
      <c r="N196">
        <v>0.1</v>
      </c>
      <c r="O196">
        <v>470.05</v>
      </c>
      <c r="P196">
        <v>82.99</v>
      </c>
      <c r="Q196" t="s">
        <v>55</v>
      </c>
      <c r="R196" t="s">
        <v>72</v>
      </c>
    </row>
    <row r="197" spans="1:18" x14ac:dyDescent="0.3">
      <c r="A197" t="s">
        <v>608</v>
      </c>
      <c r="B197" t="s">
        <v>221</v>
      </c>
      <c r="C197" t="s">
        <v>609</v>
      </c>
      <c r="D197" t="s">
        <v>120</v>
      </c>
      <c r="E197" t="s">
        <v>35</v>
      </c>
      <c r="F197" t="s">
        <v>67</v>
      </c>
      <c r="G197" t="s">
        <v>68</v>
      </c>
      <c r="H197" t="s">
        <v>69</v>
      </c>
      <c r="I197" t="s">
        <v>38</v>
      </c>
      <c r="J197" t="s">
        <v>60</v>
      </c>
      <c r="K197" t="s">
        <v>116</v>
      </c>
      <c r="L197">
        <v>1</v>
      </c>
      <c r="M197">
        <v>206.78</v>
      </c>
      <c r="N197">
        <v>0.1</v>
      </c>
      <c r="O197">
        <v>186.1</v>
      </c>
      <c r="P197">
        <v>40.31</v>
      </c>
      <c r="Q197" t="s">
        <v>41</v>
      </c>
      <c r="R197" t="s">
        <v>72</v>
      </c>
    </row>
    <row r="198" spans="1:18" x14ac:dyDescent="0.3">
      <c r="A198" t="s">
        <v>610</v>
      </c>
      <c r="B198" t="s">
        <v>398</v>
      </c>
      <c r="C198" t="s">
        <v>497</v>
      </c>
      <c r="D198" t="s">
        <v>76</v>
      </c>
      <c r="E198" t="s">
        <v>45</v>
      </c>
      <c r="F198" t="s">
        <v>46</v>
      </c>
      <c r="G198" t="s">
        <v>68</v>
      </c>
      <c r="H198" t="s">
        <v>320</v>
      </c>
      <c r="I198" t="s">
        <v>38</v>
      </c>
      <c r="J198" t="s">
        <v>39</v>
      </c>
      <c r="K198" t="s">
        <v>165</v>
      </c>
      <c r="L198">
        <v>4</v>
      </c>
      <c r="M198">
        <v>364</v>
      </c>
      <c r="N198">
        <v>0.2</v>
      </c>
      <c r="O198">
        <v>1164.8</v>
      </c>
      <c r="P198">
        <v>-21.69</v>
      </c>
      <c r="Q198" t="s">
        <v>41</v>
      </c>
      <c r="R198" t="s">
        <v>30</v>
      </c>
    </row>
    <row r="199" spans="1:18" x14ac:dyDescent="0.3">
      <c r="A199" t="s">
        <v>611</v>
      </c>
      <c r="B199" t="s">
        <v>612</v>
      </c>
      <c r="C199" t="s">
        <v>613</v>
      </c>
      <c r="D199" t="s">
        <v>52</v>
      </c>
      <c r="E199" t="s">
        <v>22</v>
      </c>
      <c r="F199" t="s">
        <v>23</v>
      </c>
      <c r="G199" t="s">
        <v>24</v>
      </c>
      <c r="H199" t="s">
        <v>59</v>
      </c>
      <c r="I199" t="s">
        <v>38</v>
      </c>
      <c r="J199" t="s">
        <v>39</v>
      </c>
      <c r="K199" t="s">
        <v>165</v>
      </c>
      <c r="L199">
        <v>3</v>
      </c>
      <c r="M199">
        <v>318.02999999999997</v>
      </c>
      <c r="N199">
        <v>1.5</v>
      </c>
      <c r="O199">
        <v>906.39</v>
      </c>
      <c r="P199">
        <v>-59.05</v>
      </c>
      <c r="Q199" t="s">
        <v>55</v>
      </c>
      <c r="R199" t="s">
        <v>56</v>
      </c>
    </row>
    <row r="200" spans="1:18" x14ac:dyDescent="0.3">
      <c r="A200" t="s">
        <v>614</v>
      </c>
      <c r="B200" t="s">
        <v>200</v>
      </c>
      <c r="C200" t="s">
        <v>514</v>
      </c>
      <c r="D200" t="s">
        <v>66</v>
      </c>
      <c r="E200" t="s">
        <v>45</v>
      </c>
      <c r="F200" t="s">
        <v>23</v>
      </c>
      <c r="G200" t="s">
        <v>47</v>
      </c>
      <c r="H200" t="s">
        <v>48</v>
      </c>
      <c r="I200" t="s">
        <v>26</v>
      </c>
      <c r="J200" t="s">
        <v>27</v>
      </c>
      <c r="K200" t="s">
        <v>179</v>
      </c>
      <c r="L200">
        <v>2</v>
      </c>
      <c r="M200">
        <v>288.06</v>
      </c>
      <c r="N200">
        <v>0</v>
      </c>
      <c r="O200">
        <v>576.12</v>
      </c>
      <c r="P200">
        <v>3.06</v>
      </c>
      <c r="Q200" t="s">
        <v>29</v>
      </c>
      <c r="R200" t="s">
        <v>30</v>
      </c>
    </row>
    <row r="201" spans="1:18" x14ac:dyDescent="0.3">
      <c r="A201" t="s">
        <v>615</v>
      </c>
      <c r="B201" t="s">
        <v>373</v>
      </c>
      <c r="C201" t="s">
        <v>51</v>
      </c>
      <c r="D201" t="s">
        <v>52</v>
      </c>
      <c r="E201" t="s">
        <v>45</v>
      </c>
      <c r="F201" t="s">
        <v>46</v>
      </c>
      <c r="G201" t="s">
        <v>108</v>
      </c>
      <c r="H201" t="s">
        <v>115</v>
      </c>
      <c r="I201" t="s">
        <v>26</v>
      </c>
      <c r="J201" t="s">
        <v>27</v>
      </c>
      <c r="K201" t="s">
        <v>179</v>
      </c>
      <c r="L201">
        <v>6</v>
      </c>
      <c r="M201">
        <v>383.75</v>
      </c>
      <c r="N201">
        <v>0.2</v>
      </c>
      <c r="O201">
        <v>1842</v>
      </c>
      <c r="P201">
        <v>5.43</v>
      </c>
      <c r="Q201" t="s">
        <v>41</v>
      </c>
      <c r="R201" t="s">
        <v>56</v>
      </c>
    </row>
    <row r="202" spans="1:18" x14ac:dyDescent="0.3">
      <c r="A202" t="s">
        <v>616</v>
      </c>
      <c r="B202" t="s">
        <v>617</v>
      </c>
      <c r="C202" t="s">
        <v>243</v>
      </c>
      <c r="D202" t="s">
        <v>21</v>
      </c>
      <c r="E202" t="s">
        <v>22</v>
      </c>
      <c r="F202" t="s">
        <v>23</v>
      </c>
      <c r="G202" t="s">
        <v>68</v>
      </c>
      <c r="H202" t="s">
        <v>77</v>
      </c>
      <c r="I202" t="s">
        <v>26</v>
      </c>
      <c r="J202" t="s">
        <v>70</v>
      </c>
      <c r="K202" t="s">
        <v>71</v>
      </c>
      <c r="L202">
        <v>8</v>
      </c>
      <c r="M202">
        <v>356.43</v>
      </c>
      <c r="N202">
        <v>0.3</v>
      </c>
      <c r="O202">
        <v>1996.01</v>
      </c>
      <c r="P202">
        <v>340.59</v>
      </c>
      <c r="Q202" t="s">
        <v>29</v>
      </c>
      <c r="R202" t="s">
        <v>62</v>
      </c>
    </row>
    <row r="203" spans="1:18" x14ac:dyDescent="0.3">
      <c r="A203" t="s">
        <v>618</v>
      </c>
      <c r="B203" t="s">
        <v>465</v>
      </c>
      <c r="C203" t="s">
        <v>619</v>
      </c>
      <c r="D203" t="s">
        <v>76</v>
      </c>
      <c r="E203" t="s">
        <v>45</v>
      </c>
      <c r="F203" t="s">
        <v>53</v>
      </c>
      <c r="G203" t="s">
        <v>24</v>
      </c>
      <c r="H203" t="s">
        <v>59</v>
      </c>
      <c r="I203" t="s">
        <v>78</v>
      </c>
      <c r="J203" t="s">
        <v>93</v>
      </c>
      <c r="K203" t="s">
        <v>110</v>
      </c>
      <c r="L203">
        <v>4</v>
      </c>
      <c r="M203">
        <v>448.1</v>
      </c>
      <c r="N203">
        <v>0.05</v>
      </c>
      <c r="O203">
        <v>1702.78</v>
      </c>
      <c r="P203">
        <v>384.47</v>
      </c>
      <c r="Q203" t="s">
        <v>41</v>
      </c>
      <c r="R203" t="s">
        <v>56</v>
      </c>
    </row>
    <row r="204" spans="1:18" x14ac:dyDescent="0.3">
      <c r="A204" t="s">
        <v>620</v>
      </c>
      <c r="B204" t="s">
        <v>621</v>
      </c>
      <c r="C204" t="s">
        <v>509</v>
      </c>
      <c r="D204" t="s">
        <v>34</v>
      </c>
      <c r="E204" t="s">
        <v>22</v>
      </c>
      <c r="F204" t="s">
        <v>53</v>
      </c>
      <c r="G204" t="s">
        <v>108</v>
      </c>
      <c r="H204" t="s">
        <v>115</v>
      </c>
      <c r="I204" t="s">
        <v>38</v>
      </c>
      <c r="J204" t="s">
        <v>60</v>
      </c>
      <c r="K204" t="s">
        <v>61</v>
      </c>
      <c r="L204">
        <v>3</v>
      </c>
      <c r="M204">
        <v>30.89</v>
      </c>
      <c r="N204">
        <v>0.3</v>
      </c>
      <c r="O204">
        <v>64.87</v>
      </c>
      <c r="P204">
        <v>-2.56</v>
      </c>
      <c r="Q204" t="s">
        <v>29</v>
      </c>
      <c r="R204" t="s">
        <v>30</v>
      </c>
    </row>
    <row r="205" spans="1:18" x14ac:dyDescent="0.3">
      <c r="A205" t="s">
        <v>622</v>
      </c>
      <c r="B205" t="s">
        <v>623</v>
      </c>
      <c r="C205" t="s">
        <v>585</v>
      </c>
      <c r="D205" t="s">
        <v>21</v>
      </c>
      <c r="E205" t="s">
        <v>45</v>
      </c>
      <c r="F205" t="s">
        <v>67</v>
      </c>
      <c r="G205" t="s">
        <v>24</v>
      </c>
      <c r="H205" t="s">
        <v>125</v>
      </c>
      <c r="I205" t="s">
        <v>38</v>
      </c>
      <c r="J205" t="s">
        <v>39</v>
      </c>
      <c r="K205" t="s">
        <v>165</v>
      </c>
      <c r="L205">
        <v>4</v>
      </c>
      <c r="M205">
        <v>237.59</v>
      </c>
      <c r="N205">
        <v>0.15</v>
      </c>
      <c r="O205">
        <v>807.81</v>
      </c>
      <c r="P205">
        <v>-141.94999999999999</v>
      </c>
      <c r="Q205" t="s">
        <v>29</v>
      </c>
      <c r="R205" t="s">
        <v>62</v>
      </c>
    </row>
    <row r="206" spans="1:18" x14ac:dyDescent="0.3">
      <c r="A206" t="s">
        <v>624</v>
      </c>
      <c r="B206" t="s">
        <v>625</v>
      </c>
      <c r="C206" t="s">
        <v>152</v>
      </c>
      <c r="D206" t="s">
        <v>76</v>
      </c>
      <c r="E206" t="s">
        <v>35</v>
      </c>
      <c r="F206" t="s">
        <v>53</v>
      </c>
      <c r="G206" t="s">
        <v>108</v>
      </c>
      <c r="H206" t="s">
        <v>157</v>
      </c>
      <c r="I206" t="s">
        <v>78</v>
      </c>
      <c r="J206" t="s">
        <v>93</v>
      </c>
      <c r="K206" t="s">
        <v>110</v>
      </c>
      <c r="L206">
        <v>2</v>
      </c>
      <c r="M206">
        <v>146.5</v>
      </c>
      <c r="N206">
        <v>0.1</v>
      </c>
      <c r="O206">
        <v>263.7</v>
      </c>
      <c r="P206">
        <v>-30.83</v>
      </c>
      <c r="Q206" t="s">
        <v>55</v>
      </c>
      <c r="R206" t="s">
        <v>72</v>
      </c>
    </row>
    <row r="207" spans="1:18" x14ac:dyDescent="0.3">
      <c r="A207" t="s">
        <v>626</v>
      </c>
      <c r="B207" t="s">
        <v>627</v>
      </c>
      <c r="C207" t="s">
        <v>517</v>
      </c>
      <c r="D207" t="s">
        <v>21</v>
      </c>
      <c r="E207" t="s">
        <v>35</v>
      </c>
      <c r="F207" t="s">
        <v>67</v>
      </c>
      <c r="G207" t="s">
        <v>108</v>
      </c>
      <c r="H207" t="s">
        <v>115</v>
      </c>
      <c r="I207" t="s">
        <v>78</v>
      </c>
      <c r="J207" t="s">
        <v>79</v>
      </c>
      <c r="K207" t="s">
        <v>80</v>
      </c>
      <c r="L207">
        <v>3</v>
      </c>
      <c r="M207">
        <v>414.59</v>
      </c>
      <c r="N207">
        <v>0.2</v>
      </c>
      <c r="O207">
        <v>995.02</v>
      </c>
      <c r="P207">
        <v>135.13999999999999</v>
      </c>
      <c r="Q207" t="s">
        <v>87</v>
      </c>
      <c r="R207" t="s">
        <v>56</v>
      </c>
    </row>
    <row r="208" spans="1:18" x14ac:dyDescent="0.3">
      <c r="A208" t="s">
        <v>628</v>
      </c>
      <c r="B208" t="s">
        <v>629</v>
      </c>
      <c r="C208" t="s">
        <v>428</v>
      </c>
      <c r="D208" t="s">
        <v>147</v>
      </c>
      <c r="E208" t="s">
        <v>22</v>
      </c>
      <c r="F208" t="s">
        <v>46</v>
      </c>
      <c r="G208" t="s">
        <v>68</v>
      </c>
      <c r="H208" t="s">
        <v>320</v>
      </c>
      <c r="I208" t="s">
        <v>78</v>
      </c>
      <c r="J208" t="s">
        <v>93</v>
      </c>
      <c r="K208" t="s">
        <v>94</v>
      </c>
      <c r="L208">
        <v>5</v>
      </c>
      <c r="M208">
        <v>292.92</v>
      </c>
      <c r="N208">
        <v>0.05</v>
      </c>
      <c r="O208">
        <v>1391.37</v>
      </c>
      <c r="P208">
        <v>103.74</v>
      </c>
      <c r="Q208" t="s">
        <v>55</v>
      </c>
      <c r="R208" t="s">
        <v>72</v>
      </c>
    </row>
    <row r="209" spans="1:18" x14ac:dyDescent="0.3">
      <c r="A209" t="s">
        <v>630</v>
      </c>
      <c r="B209" t="s">
        <v>370</v>
      </c>
      <c r="C209" t="s">
        <v>220</v>
      </c>
      <c r="D209" t="s">
        <v>147</v>
      </c>
      <c r="E209" t="s">
        <v>45</v>
      </c>
      <c r="F209" t="s">
        <v>46</v>
      </c>
      <c r="G209" t="s">
        <v>24</v>
      </c>
      <c r="H209" t="s">
        <v>125</v>
      </c>
      <c r="I209" t="s">
        <v>78</v>
      </c>
      <c r="J209" t="s">
        <v>79</v>
      </c>
      <c r="K209" t="s">
        <v>80</v>
      </c>
      <c r="L209">
        <v>8</v>
      </c>
      <c r="M209">
        <v>178.56</v>
      </c>
      <c r="N209">
        <v>0.05</v>
      </c>
      <c r="O209">
        <v>1357.06</v>
      </c>
      <c r="P209">
        <v>67.59</v>
      </c>
      <c r="Q209" t="s">
        <v>87</v>
      </c>
      <c r="R209" t="s">
        <v>72</v>
      </c>
    </row>
    <row r="210" spans="1:18" x14ac:dyDescent="0.3">
      <c r="A210" t="s">
        <v>631</v>
      </c>
      <c r="B210" t="s">
        <v>632</v>
      </c>
      <c r="C210" t="s">
        <v>633</v>
      </c>
      <c r="D210" t="s">
        <v>147</v>
      </c>
      <c r="E210" t="s">
        <v>45</v>
      </c>
      <c r="F210" t="s">
        <v>67</v>
      </c>
      <c r="G210" t="s">
        <v>108</v>
      </c>
      <c r="H210" t="s">
        <v>157</v>
      </c>
      <c r="I210" t="s">
        <v>78</v>
      </c>
      <c r="J210" t="s">
        <v>79</v>
      </c>
      <c r="K210" t="s">
        <v>80</v>
      </c>
      <c r="L210">
        <v>8</v>
      </c>
      <c r="M210">
        <v>429.87</v>
      </c>
      <c r="N210">
        <v>0</v>
      </c>
      <c r="O210">
        <v>3438.96</v>
      </c>
      <c r="P210">
        <v>-592.61</v>
      </c>
      <c r="Q210" t="s">
        <v>29</v>
      </c>
      <c r="R210" t="s">
        <v>72</v>
      </c>
    </row>
    <row r="211" spans="1:18" x14ac:dyDescent="0.3">
      <c r="A211" t="s">
        <v>634</v>
      </c>
      <c r="B211" t="s">
        <v>635</v>
      </c>
      <c r="C211" t="s">
        <v>636</v>
      </c>
      <c r="D211" t="s">
        <v>76</v>
      </c>
      <c r="E211" t="s">
        <v>45</v>
      </c>
      <c r="F211" t="s">
        <v>53</v>
      </c>
      <c r="G211" t="s">
        <v>108</v>
      </c>
      <c r="H211" t="s">
        <v>115</v>
      </c>
      <c r="I211" t="s">
        <v>26</v>
      </c>
      <c r="J211" t="s">
        <v>70</v>
      </c>
      <c r="K211" t="s">
        <v>222</v>
      </c>
      <c r="L211">
        <v>7</v>
      </c>
      <c r="M211">
        <v>195.22</v>
      </c>
      <c r="N211">
        <v>0.15</v>
      </c>
      <c r="O211">
        <v>1161.56</v>
      </c>
      <c r="P211">
        <v>-165.04</v>
      </c>
      <c r="Q211" t="s">
        <v>29</v>
      </c>
      <c r="R211" t="s">
        <v>62</v>
      </c>
    </row>
    <row r="212" spans="1:18" x14ac:dyDescent="0.3">
      <c r="A212" t="s">
        <v>637</v>
      </c>
      <c r="B212" t="s">
        <v>580</v>
      </c>
      <c r="C212" t="s">
        <v>638</v>
      </c>
      <c r="D212" t="s">
        <v>147</v>
      </c>
      <c r="E212" t="s">
        <v>35</v>
      </c>
      <c r="F212" t="s">
        <v>53</v>
      </c>
      <c r="G212" t="s">
        <v>84</v>
      </c>
      <c r="H212" t="s">
        <v>131</v>
      </c>
      <c r="I212" t="s">
        <v>38</v>
      </c>
      <c r="J212" t="s">
        <v>39</v>
      </c>
      <c r="K212" t="s">
        <v>165</v>
      </c>
      <c r="L212">
        <v>2</v>
      </c>
      <c r="M212">
        <v>145.09</v>
      </c>
      <c r="N212">
        <v>0.15</v>
      </c>
      <c r="O212">
        <v>246.65</v>
      </c>
      <c r="P212">
        <v>38.42</v>
      </c>
      <c r="Q212" t="s">
        <v>29</v>
      </c>
      <c r="R212" t="s">
        <v>72</v>
      </c>
    </row>
    <row r="213" spans="1:18" x14ac:dyDescent="0.3">
      <c r="A213" t="s">
        <v>639</v>
      </c>
      <c r="B213" t="s">
        <v>640</v>
      </c>
      <c r="C213" t="s">
        <v>641</v>
      </c>
      <c r="D213" t="s">
        <v>76</v>
      </c>
      <c r="E213" t="s">
        <v>45</v>
      </c>
      <c r="F213" t="s">
        <v>46</v>
      </c>
      <c r="G213" t="s">
        <v>24</v>
      </c>
      <c r="H213" t="s">
        <v>59</v>
      </c>
      <c r="I213" t="s">
        <v>26</v>
      </c>
      <c r="J213" t="s">
        <v>70</v>
      </c>
      <c r="K213" t="s">
        <v>86</v>
      </c>
      <c r="L213">
        <v>3</v>
      </c>
      <c r="M213">
        <v>60.79</v>
      </c>
      <c r="N213">
        <v>0.3</v>
      </c>
      <c r="O213">
        <v>127.66</v>
      </c>
      <c r="P213">
        <v>-14.92</v>
      </c>
      <c r="Q213" t="s">
        <v>41</v>
      </c>
      <c r="R213" t="s">
        <v>62</v>
      </c>
    </row>
    <row r="214" spans="1:18" x14ac:dyDescent="0.3">
      <c r="A214" t="s">
        <v>642</v>
      </c>
      <c r="B214" t="s">
        <v>420</v>
      </c>
      <c r="C214" t="s">
        <v>643</v>
      </c>
      <c r="D214" t="s">
        <v>91</v>
      </c>
      <c r="E214" t="s">
        <v>22</v>
      </c>
      <c r="F214" t="s">
        <v>53</v>
      </c>
      <c r="G214" t="s">
        <v>108</v>
      </c>
      <c r="H214" t="s">
        <v>109</v>
      </c>
      <c r="I214" t="s">
        <v>78</v>
      </c>
      <c r="J214" t="s">
        <v>79</v>
      </c>
      <c r="K214" t="s">
        <v>378</v>
      </c>
      <c r="L214">
        <v>2</v>
      </c>
      <c r="M214">
        <v>348.97</v>
      </c>
      <c r="N214">
        <v>0</v>
      </c>
      <c r="O214">
        <v>697.94</v>
      </c>
      <c r="P214">
        <v>-18.07</v>
      </c>
      <c r="Q214" t="s">
        <v>29</v>
      </c>
      <c r="R214" t="s">
        <v>72</v>
      </c>
    </row>
    <row r="215" spans="1:18" x14ac:dyDescent="0.3">
      <c r="A215" t="s">
        <v>644</v>
      </c>
      <c r="B215" t="s">
        <v>645</v>
      </c>
      <c r="C215" t="s">
        <v>646</v>
      </c>
      <c r="D215" t="s">
        <v>21</v>
      </c>
      <c r="E215" t="s">
        <v>22</v>
      </c>
      <c r="F215" t="s">
        <v>53</v>
      </c>
      <c r="G215" t="s">
        <v>84</v>
      </c>
      <c r="H215" t="s">
        <v>85</v>
      </c>
      <c r="I215" t="s">
        <v>78</v>
      </c>
      <c r="J215" t="s">
        <v>93</v>
      </c>
      <c r="K215" t="s">
        <v>94</v>
      </c>
      <c r="L215">
        <v>8</v>
      </c>
      <c r="M215">
        <v>387.84</v>
      </c>
      <c r="N215">
        <v>0.05</v>
      </c>
      <c r="O215">
        <v>2947.58</v>
      </c>
      <c r="P215">
        <v>-32.020000000000003</v>
      </c>
      <c r="Q215" t="s">
        <v>29</v>
      </c>
      <c r="R215" t="s">
        <v>30</v>
      </c>
    </row>
    <row r="216" spans="1:18" x14ac:dyDescent="0.3">
      <c r="A216" t="s">
        <v>647</v>
      </c>
      <c r="B216" t="s">
        <v>64</v>
      </c>
      <c r="C216" t="s">
        <v>536</v>
      </c>
      <c r="D216" t="s">
        <v>34</v>
      </c>
      <c r="E216" t="s">
        <v>35</v>
      </c>
      <c r="F216" t="s">
        <v>46</v>
      </c>
      <c r="G216" t="s">
        <v>24</v>
      </c>
      <c r="H216" t="s">
        <v>59</v>
      </c>
      <c r="I216" t="s">
        <v>38</v>
      </c>
      <c r="J216" t="s">
        <v>60</v>
      </c>
      <c r="K216" t="s">
        <v>116</v>
      </c>
      <c r="L216">
        <v>6</v>
      </c>
      <c r="M216">
        <v>177.28</v>
      </c>
      <c r="N216">
        <v>0.05</v>
      </c>
      <c r="O216">
        <v>1010.5</v>
      </c>
      <c r="P216">
        <v>-98.7</v>
      </c>
      <c r="Q216" t="s">
        <v>87</v>
      </c>
      <c r="R216" t="s">
        <v>56</v>
      </c>
    </row>
    <row r="217" spans="1:18" x14ac:dyDescent="0.3">
      <c r="A217" t="s">
        <v>648</v>
      </c>
      <c r="B217" t="s">
        <v>146</v>
      </c>
      <c r="C217" t="s">
        <v>649</v>
      </c>
      <c r="D217" t="s">
        <v>147</v>
      </c>
      <c r="E217" t="s">
        <v>45</v>
      </c>
      <c r="F217" t="s">
        <v>53</v>
      </c>
      <c r="G217" t="s">
        <v>36</v>
      </c>
      <c r="H217" t="s">
        <v>92</v>
      </c>
      <c r="I217" t="s">
        <v>78</v>
      </c>
      <c r="J217" t="s">
        <v>79</v>
      </c>
      <c r="K217" t="s">
        <v>378</v>
      </c>
      <c r="L217">
        <v>2</v>
      </c>
      <c r="M217">
        <v>229.9</v>
      </c>
      <c r="N217">
        <v>0</v>
      </c>
      <c r="O217">
        <v>459.8</v>
      </c>
      <c r="P217">
        <v>-44.83</v>
      </c>
      <c r="Q217" t="s">
        <v>41</v>
      </c>
      <c r="R217" t="s">
        <v>56</v>
      </c>
    </row>
    <row r="218" spans="1:18" x14ac:dyDescent="0.3">
      <c r="A218" t="s">
        <v>650</v>
      </c>
      <c r="B218" t="s">
        <v>649</v>
      </c>
      <c r="C218" t="s">
        <v>337</v>
      </c>
      <c r="D218" t="s">
        <v>52</v>
      </c>
      <c r="E218" t="s">
        <v>45</v>
      </c>
      <c r="F218" t="s">
        <v>46</v>
      </c>
      <c r="G218" t="s">
        <v>36</v>
      </c>
      <c r="H218" t="s">
        <v>92</v>
      </c>
      <c r="I218" t="s">
        <v>78</v>
      </c>
      <c r="J218" t="s">
        <v>79</v>
      </c>
      <c r="K218" t="s">
        <v>143</v>
      </c>
      <c r="L218">
        <v>1</v>
      </c>
      <c r="M218">
        <v>171.06</v>
      </c>
      <c r="N218">
        <v>0.1</v>
      </c>
      <c r="O218">
        <v>153.94999999999999</v>
      </c>
      <c r="P218">
        <v>12.22</v>
      </c>
      <c r="Q218" t="s">
        <v>87</v>
      </c>
      <c r="R218" t="s">
        <v>62</v>
      </c>
    </row>
    <row r="219" spans="1:18" x14ac:dyDescent="0.3">
      <c r="A219" t="s">
        <v>651</v>
      </c>
      <c r="B219" t="s">
        <v>632</v>
      </c>
      <c r="C219" t="s">
        <v>652</v>
      </c>
      <c r="D219" t="s">
        <v>147</v>
      </c>
      <c r="E219" t="s">
        <v>45</v>
      </c>
      <c r="F219" t="s">
        <v>53</v>
      </c>
      <c r="G219" t="s">
        <v>68</v>
      </c>
      <c r="H219" t="s">
        <v>320</v>
      </c>
      <c r="I219" t="s">
        <v>26</v>
      </c>
      <c r="J219" t="s">
        <v>27</v>
      </c>
      <c r="K219" t="s">
        <v>139</v>
      </c>
      <c r="L219">
        <v>1</v>
      </c>
      <c r="M219">
        <v>420.12</v>
      </c>
      <c r="N219">
        <v>0</v>
      </c>
      <c r="O219">
        <v>420.12</v>
      </c>
      <c r="P219">
        <v>-30.59</v>
      </c>
      <c r="Q219" t="s">
        <v>87</v>
      </c>
      <c r="R219" t="s">
        <v>56</v>
      </c>
    </row>
    <row r="220" spans="1:18" x14ac:dyDescent="0.3">
      <c r="A220" t="s">
        <v>653</v>
      </c>
      <c r="B220" t="s">
        <v>654</v>
      </c>
      <c r="C220" t="s">
        <v>323</v>
      </c>
      <c r="D220" t="s">
        <v>91</v>
      </c>
      <c r="E220" t="s">
        <v>35</v>
      </c>
      <c r="F220" t="s">
        <v>53</v>
      </c>
      <c r="G220" t="s">
        <v>36</v>
      </c>
      <c r="H220" t="s">
        <v>54</v>
      </c>
      <c r="I220" t="s">
        <v>38</v>
      </c>
      <c r="J220" t="s">
        <v>60</v>
      </c>
      <c r="K220" t="s">
        <v>116</v>
      </c>
      <c r="L220">
        <v>7</v>
      </c>
      <c r="M220">
        <v>225.48</v>
      </c>
      <c r="N220">
        <v>0</v>
      </c>
      <c r="O220">
        <v>1578.36</v>
      </c>
      <c r="P220">
        <v>422.02</v>
      </c>
      <c r="Q220" t="s">
        <v>87</v>
      </c>
      <c r="R220" t="s">
        <v>56</v>
      </c>
    </row>
    <row r="221" spans="1:18" x14ac:dyDescent="0.3">
      <c r="A221" t="s">
        <v>655</v>
      </c>
      <c r="B221" t="s">
        <v>656</v>
      </c>
      <c r="C221" t="s">
        <v>657</v>
      </c>
      <c r="D221" t="s">
        <v>34</v>
      </c>
      <c r="E221" t="s">
        <v>22</v>
      </c>
      <c r="F221" t="s">
        <v>67</v>
      </c>
      <c r="G221" t="s">
        <v>36</v>
      </c>
      <c r="H221" t="s">
        <v>54</v>
      </c>
      <c r="I221" t="s">
        <v>78</v>
      </c>
      <c r="J221" t="s">
        <v>93</v>
      </c>
      <c r="K221" t="s">
        <v>94</v>
      </c>
      <c r="L221">
        <v>3</v>
      </c>
      <c r="M221">
        <v>289.64999999999998</v>
      </c>
      <c r="N221">
        <v>0.15</v>
      </c>
      <c r="O221">
        <v>738.61</v>
      </c>
      <c r="P221">
        <v>-107.53</v>
      </c>
      <c r="Q221" t="s">
        <v>41</v>
      </c>
      <c r="R221" t="s">
        <v>56</v>
      </c>
    </row>
    <row r="222" spans="1:18" x14ac:dyDescent="0.3">
      <c r="A222" t="s">
        <v>658</v>
      </c>
      <c r="B222" t="s">
        <v>659</v>
      </c>
      <c r="C222" t="s">
        <v>660</v>
      </c>
      <c r="D222" t="s">
        <v>76</v>
      </c>
      <c r="E222" t="s">
        <v>22</v>
      </c>
      <c r="F222" t="s">
        <v>53</v>
      </c>
      <c r="G222" t="s">
        <v>108</v>
      </c>
      <c r="H222" t="s">
        <v>115</v>
      </c>
      <c r="I222" t="s">
        <v>78</v>
      </c>
      <c r="J222" t="s">
        <v>79</v>
      </c>
      <c r="K222" t="s">
        <v>80</v>
      </c>
      <c r="L222">
        <v>6</v>
      </c>
      <c r="M222">
        <v>148.58000000000001</v>
      </c>
      <c r="N222">
        <v>0.1</v>
      </c>
      <c r="O222">
        <v>802.33</v>
      </c>
      <c r="P222">
        <v>-58.2</v>
      </c>
      <c r="Q222" t="s">
        <v>29</v>
      </c>
      <c r="R222" t="s">
        <v>62</v>
      </c>
    </row>
    <row r="223" spans="1:18" x14ac:dyDescent="0.3">
      <c r="A223" t="s">
        <v>661</v>
      </c>
      <c r="B223" t="s">
        <v>662</v>
      </c>
      <c r="C223" t="s">
        <v>663</v>
      </c>
      <c r="D223" t="s">
        <v>91</v>
      </c>
      <c r="E223" t="s">
        <v>35</v>
      </c>
      <c r="F223" t="s">
        <v>53</v>
      </c>
      <c r="G223" t="s">
        <v>84</v>
      </c>
      <c r="H223" t="s">
        <v>131</v>
      </c>
      <c r="I223" t="s">
        <v>78</v>
      </c>
      <c r="J223" t="s">
        <v>93</v>
      </c>
      <c r="K223" t="s">
        <v>94</v>
      </c>
      <c r="L223">
        <v>2</v>
      </c>
      <c r="M223">
        <v>244.88</v>
      </c>
      <c r="N223">
        <v>0.05</v>
      </c>
      <c r="O223">
        <v>465.27</v>
      </c>
      <c r="P223">
        <v>12.97</v>
      </c>
      <c r="Q223" t="s">
        <v>41</v>
      </c>
      <c r="R223" t="s">
        <v>30</v>
      </c>
    </row>
    <row r="224" spans="1:18" x14ac:dyDescent="0.3">
      <c r="A224" t="s">
        <v>664</v>
      </c>
      <c r="B224" t="s">
        <v>665</v>
      </c>
      <c r="C224" t="s">
        <v>162</v>
      </c>
      <c r="D224" t="s">
        <v>91</v>
      </c>
      <c r="E224" t="s">
        <v>35</v>
      </c>
      <c r="F224" t="s">
        <v>53</v>
      </c>
      <c r="G224" t="s">
        <v>68</v>
      </c>
      <c r="H224" t="s">
        <v>320</v>
      </c>
      <c r="I224" t="s">
        <v>38</v>
      </c>
      <c r="J224" t="s">
        <v>39</v>
      </c>
      <c r="K224" t="s">
        <v>165</v>
      </c>
      <c r="L224">
        <v>4</v>
      </c>
      <c r="M224">
        <v>436.03</v>
      </c>
      <c r="N224">
        <v>0.15</v>
      </c>
      <c r="O224">
        <v>1482.5</v>
      </c>
      <c r="P224">
        <v>83.3</v>
      </c>
      <c r="Q224" t="s">
        <v>87</v>
      </c>
      <c r="R224" t="s">
        <v>62</v>
      </c>
    </row>
    <row r="225" spans="1:18" x14ac:dyDescent="0.3">
      <c r="A225" t="s">
        <v>666</v>
      </c>
      <c r="B225" t="s">
        <v>667</v>
      </c>
      <c r="C225" t="s">
        <v>668</v>
      </c>
      <c r="D225" t="s">
        <v>66</v>
      </c>
      <c r="E225" t="s">
        <v>22</v>
      </c>
      <c r="F225" t="s">
        <v>53</v>
      </c>
      <c r="G225" t="s">
        <v>24</v>
      </c>
      <c r="H225" t="s">
        <v>125</v>
      </c>
      <c r="I225" t="s">
        <v>38</v>
      </c>
      <c r="J225" t="s">
        <v>60</v>
      </c>
      <c r="K225" t="s">
        <v>61</v>
      </c>
      <c r="L225">
        <v>2</v>
      </c>
      <c r="M225">
        <v>13.28</v>
      </c>
      <c r="N225">
        <v>0.05</v>
      </c>
      <c r="O225">
        <v>25.23</v>
      </c>
      <c r="P225">
        <v>-3.02</v>
      </c>
      <c r="Q225" t="s">
        <v>41</v>
      </c>
      <c r="R225" t="s">
        <v>30</v>
      </c>
    </row>
    <row r="226" spans="1:18" x14ac:dyDescent="0.3">
      <c r="A226" t="s">
        <v>669</v>
      </c>
      <c r="B226" t="s">
        <v>670</v>
      </c>
      <c r="C226" t="s">
        <v>112</v>
      </c>
      <c r="D226" t="s">
        <v>21</v>
      </c>
      <c r="E226" t="s">
        <v>35</v>
      </c>
      <c r="F226" t="s">
        <v>23</v>
      </c>
      <c r="G226" t="s">
        <v>68</v>
      </c>
      <c r="H226" t="s">
        <v>77</v>
      </c>
      <c r="I226" t="s">
        <v>38</v>
      </c>
      <c r="J226" t="s">
        <v>60</v>
      </c>
      <c r="K226" t="s">
        <v>116</v>
      </c>
      <c r="L226">
        <v>8</v>
      </c>
      <c r="M226">
        <v>365.71</v>
      </c>
      <c r="N226">
        <v>0</v>
      </c>
      <c r="O226">
        <v>2925.68</v>
      </c>
      <c r="P226">
        <v>691.44</v>
      </c>
      <c r="Q226" t="s">
        <v>55</v>
      </c>
      <c r="R226" t="s">
        <v>72</v>
      </c>
    </row>
    <row r="227" spans="1:18" x14ac:dyDescent="0.3">
      <c r="A227" t="s">
        <v>671</v>
      </c>
      <c r="B227" t="s">
        <v>672</v>
      </c>
      <c r="C227" t="s">
        <v>142</v>
      </c>
      <c r="D227" t="s">
        <v>91</v>
      </c>
      <c r="E227" t="s">
        <v>45</v>
      </c>
      <c r="F227" t="s">
        <v>23</v>
      </c>
      <c r="G227" t="s">
        <v>47</v>
      </c>
      <c r="H227" t="s">
        <v>121</v>
      </c>
      <c r="I227" t="s">
        <v>26</v>
      </c>
      <c r="J227" t="s">
        <v>27</v>
      </c>
      <c r="K227" t="s">
        <v>28</v>
      </c>
      <c r="L227">
        <v>7</v>
      </c>
      <c r="M227">
        <v>309.98</v>
      </c>
      <c r="N227">
        <v>0.05</v>
      </c>
      <c r="O227">
        <v>2061.37</v>
      </c>
      <c r="P227">
        <v>-35.43</v>
      </c>
      <c r="Q227" t="s">
        <v>29</v>
      </c>
      <c r="R227" t="s">
        <v>62</v>
      </c>
    </row>
    <row r="228" spans="1:18" x14ac:dyDescent="0.3">
      <c r="A228" t="s">
        <v>673</v>
      </c>
      <c r="B228" t="s">
        <v>636</v>
      </c>
      <c r="C228" t="s">
        <v>296</v>
      </c>
      <c r="D228" t="s">
        <v>52</v>
      </c>
      <c r="E228" t="s">
        <v>22</v>
      </c>
      <c r="F228" t="s">
        <v>67</v>
      </c>
      <c r="G228" t="s">
        <v>47</v>
      </c>
      <c r="H228" t="s">
        <v>48</v>
      </c>
      <c r="I228" t="s">
        <v>26</v>
      </c>
      <c r="J228" t="s">
        <v>27</v>
      </c>
      <c r="K228" t="s">
        <v>139</v>
      </c>
      <c r="L228">
        <v>8</v>
      </c>
      <c r="M228">
        <v>34.950000000000003</v>
      </c>
      <c r="N228">
        <v>0.1</v>
      </c>
      <c r="O228">
        <v>251.64</v>
      </c>
      <c r="P228">
        <v>-0.96</v>
      </c>
      <c r="Q228" t="s">
        <v>29</v>
      </c>
      <c r="R228" t="s">
        <v>72</v>
      </c>
    </row>
    <row r="229" spans="1:18" x14ac:dyDescent="0.3">
      <c r="A229" t="s">
        <v>674</v>
      </c>
      <c r="B229" t="s">
        <v>403</v>
      </c>
      <c r="C229" t="s">
        <v>675</v>
      </c>
      <c r="D229" t="s">
        <v>91</v>
      </c>
      <c r="E229" t="s">
        <v>35</v>
      </c>
      <c r="F229" t="s">
        <v>53</v>
      </c>
      <c r="G229" t="s">
        <v>47</v>
      </c>
      <c r="H229" t="s">
        <v>164</v>
      </c>
      <c r="I229" t="s">
        <v>26</v>
      </c>
      <c r="J229" t="s">
        <v>27</v>
      </c>
      <c r="K229" t="s">
        <v>179</v>
      </c>
      <c r="L229">
        <v>8</v>
      </c>
      <c r="M229">
        <v>160.06</v>
      </c>
      <c r="N229">
        <v>0.2</v>
      </c>
      <c r="O229">
        <v>1024.3800000000001</v>
      </c>
      <c r="P229">
        <v>52.35</v>
      </c>
      <c r="Q229" t="s">
        <v>55</v>
      </c>
      <c r="R229" t="s">
        <v>30</v>
      </c>
    </row>
    <row r="230" spans="1:18" x14ac:dyDescent="0.3">
      <c r="A230" t="s">
        <v>676</v>
      </c>
      <c r="B230" t="s">
        <v>505</v>
      </c>
      <c r="C230" t="s">
        <v>460</v>
      </c>
      <c r="D230" t="s">
        <v>52</v>
      </c>
      <c r="E230" t="s">
        <v>22</v>
      </c>
      <c r="F230" t="s">
        <v>67</v>
      </c>
      <c r="G230" t="s">
        <v>47</v>
      </c>
      <c r="H230" t="s">
        <v>164</v>
      </c>
      <c r="I230" t="s">
        <v>78</v>
      </c>
      <c r="J230" t="s">
        <v>79</v>
      </c>
      <c r="K230" t="s">
        <v>378</v>
      </c>
      <c r="L230">
        <v>6</v>
      </c>
      <c r="M230">
        <v>346.94</v>
      </c>
      <c r="N230">
        <v>0.05</v>
      </c>
      <c r="O230">
        <v>1977.56</v>
      </c>
      <c r="P230">
        <v>530.04999999999995</v>
      </c>
      <c r="Q230" t="s">
        <v>29</v>
      </c>
      <c r="R230" t="s">
        <v>62</v>
      </c>
    </row>
    <row r="231" spans="1:18" x14ac:dyDescent="0.3">
      <c r="A231" t="s">
        <v>677</v>
      </c>
      <c r="B231" t="s">
        <v>678</v>
      </c>
      <c r="C231" t="s">
        <v>463</v>
      </c>
      <c r="D231" t="s">
        <v>147</v>
      </c>
      <c r="E231" t="s">
        <v>22</v>
      </c>
      <c r="F231" t="s">
        <v>46</v>
      </c>
      <c r="G231" t="s">
        <v>84</v>
      </c>
      <c r="H231" t="s">
        <v>85</v>
      </c>
      <c r="I231" t="s">
        <v>26</v>
      </c>
      <c r="J231" t="s">
        <v>70</v>
      </c>
      <c r="K231" t="s">
        <v>86</v>
      </c>
      <c r="L231">
        <v>3</v>
      </c>
      <c r="M231">
        <v>112.56</v>
      </c>
      <c r="N231">
        <v>0.1</v>
      </c>
      <c r="O231">
        <v>303.91000000000003</v>
      </c>
      <c r="P231">
        <v>58</v>
      </c>
      <c r="Q231" t="s">
        <v>55</v>
      </c>
      <c r="R231" t="s">
        <v>62</v>
      </c>
    </row>
    <row r="232" spans="1:18" x14ac:dyDescent="0.3">
      <c r="A232" t="s">
        <v>679</v>
      </c>
      <c r="B232" t="s">
        <v>134</v>
      </c>
      <c r="C232" t="s">
        <v>632</v>
      </c>
      <c r="D232" t="s">
        <v>147</v>
      </c>
      <c r="E232" t="s">
        <v>22</v>
      </c>
      <c r="F232" t="s">
        <v>23</v>
      </c>
      <c r="G232" t="s">
        <v>84</v>
      </c>
      <c r="H232" t="s">
        <v>85</v>
      </c>
      <c r="I232" t="s">
        <v>78</v>
      </c>
      <c r="J232" t="s">
        <v>93</v>
      </c>
      <c r="K232" t="s">
        <v>94</v>
      </c>
      <c r="L232">
        <v>8</v>
      </c>
      <c r="M232">
        <v>24.78</v>
      </c>
      <c r="N232">
        <v>0</v>
      </c>
      <c r="O232">
        <v>198.24</v>
      </c>
      <c r="P232">
        <v>-14.47</v>
      </c>
      <c r="Q232" t="s">
        <v>41</v>
      </c>
      <c r="R232" t="s">
        <v>62</v>
      </c>
    </row>
    <row r="233" spans="1:18" x14ac:dyDescent="0.3">
      <c r="A233" t="s">
        <v>680</v>
      </c>
      <c r="B233" t="s">
        <v>681</v>
      </c>
      <c r="C233" t="s">
        <v>682</v>
      </c>
      <c r="D233" t="s">
        <v>21</v>
      </c>
      <c r="E233" t="s">
        <v>22</v>
      </c>
      <c r="F233" t="s">
        <v>46</v>
      </c>
      <c r="G233" t="s">
        <v>108</v>
      </c>
      <c r="H233" t="s">
        <v>157</v>
      </c>
      <c r="I233" t="s">
        <v>38</v>
      </c>
      <c r="J233" t="s">
        <v>39</v>
      </c>
      <c r="K233" t="s">
        <v>98</v>
      </c>
      <c r="L233">
        <v>6</v>
      </c>
      <c r="M233">
        <v>34.32</v>
      </c>
      <c r="N233">
        <v>0.05</v>
      </c>
      <c r="O233">
        <v>195.62</v>
      </c>
      <c r="P233">
        <v>17.57</v>
      </c>
      <c r="Q233" t="s">
        <v>41</v>
      </c>
      <c r="R233" t="s">
        <v>72</v>
      </c>
    </row>
    <row r="234" spans="1:18" x14ac:dyDescent="0.3">
      <c r="A234" t="s">
        <v>683</v>
      </c>
      <c r="B234" t="s">
        <v>684</v>
      </c>
      <c r="C234" t="s">
        <v>685</v>
      </c>
      <c r="D234" t="s">
        <v>120</v>
      </c>
      <c r="E234" t="s">
        <v>22</v>
      </c>
      <c r="F234" t="s">
        <v>46</v>
      </c>
      <c r="G234" t="s">
        <v>84</v>
      </c>
      <c r="H234" t="s">
        <v>131</v>
      </c>
      <c r="I234" t="s">
        <v>26</v>
      </c>
      <c r="J234" t="s">
        <v>70</v>
      </c>
      <c r="K234" t="s">
        <v>71</v>
      </c>
      <c r="L234">
        <v>6</v>
      </c>
      <c r="M234">
        <v>68.31</v>
      </c>
      <c r="N234">
        <v>0.05</v>
      </c>
      <c r="O234">
        <v>389.37</v>
      </c>
      <c r="P234">
        <v>61.09</v>
      </c>
      <c r="Q234" t="s">
        <v>41</v>
      </c>
      <c r="R234" t="s">
        <v>62</v>
      </c>
    </row>
    <row r="235" spans="1:18" x14ac:dyDescent="0.3">
      <c r="A235" t="s">
        <v>686</v>
      </c>
      <c r="B235" t="s">
        <v>687</v>
      </c>
      <c r="C235" t="s">
        <v>688</v>
      </c>
      <c r="D235" t="s">
        <v>34</v>
      </c>
      <c r="E235" t="s">
        <v>22</v>
      </c>
      <c r="F235" t="s">
        <v>53</v>
      </c>
      <c r="G235" t="s">
        <v>68</v>
      </c>
      <c r="H235" t="s">
        <v>69</v>
      </c>
      <c r="I235" t="s">
        <v>26</v>
      </c>
      <c r="J235" t="s">
        <v>27</v>
      </c>
      <c r="K235" t="s">
        <v>28</v>
      </c>
      <c r="L235">
        <v>5</v>
      </c>
      <c r="M235">
        <v>332.43</v>
      </c>
      <c r="N235">
        <v>0.1</v>
      </c>
      <c r="O235">
        <v>1495.94</v>
      </c>
      <c r="P235">
        <v>-181.64</v>
      </c>
      <c r="Q235" t="s">
        <v>41</v>
      </c>
      <c r="R235" t="s">
        <v>62</v>
      </c>
    </row>
    <row r="236" spans="1:18" x14ac:dyDescent="0.3">
      <c r="A236" t="s">
        <v>689</v>
      </c>
      <c r="B236" t="s">
        <v>606</v>
      </c>
      <c r="C236" t="s">
        <v>607</v>
      </c>
      <c r="D236" t="s">
        <v>76</v>
      </c>
      <c r="E236" t="s">
        <v>22</v>
      </c>
      <c r="F236" t="s">
        <v>53</v>
      </c>
      <c r="G236" t="s">
        <v>24</v>
      </c>
      <c r="H236" t="s">
        <v>59</v>
      </c>
      <c r="I236" t="s">
        <v>26</v>
      </c>
      <c r="J236" t="s">
        <v>27</v>
      </c>
      <c r="K236" t="s">
        <v>139</v>
      </c>
      <c r="L236">
        <v>3</v>
      </c>
      <c r="M236">
        <v>154.38</v>
      </c>
      <c r="N236">
        <v>0</v>
      </c>
      <c r="O236">
        <v>463.14</v>
      </c>
      <c r="P236">
        <v>-32.659999999999997</v>
      </c>
      <c r="Q236" t="s">
        <v>41</v>
      </c>
      <c r="R236" t="s">
        <v>72</v>
      </c>
    </row>
    <row r="237" spans="1:18" x14ac:dyDescent="0.3">
      <c r="A237" t="s">
        <v>690</v>
      </c>
      <c r="B237" t="s">
        <v>691</v>
      </c>
      <c r="C237" t="s">
        <v>692</v>
      </c>
      <c r="D237" t="s">
        <v>34</v>
      </c>
      <c r="E237" t="s">
        <v>45</v>
      </c>
      <c r="F237" t="s">
        <v>23</v>
      </c>
      <c r="G237" t="s">
        <v>68</v>
      </c>
      <c r="H237" t="s">
        <v>320</v>
      </c>
      <c r="I237" t="s">
        <v>38</v>
      </c>
      <c r="J237" t="s">
        <v>60</v>
      </c>
      <c r="K237" t="s">
        <v>116</v>
      </c>
      <c r="L237">
        <v>2</v>
      </c>
      <c r="M237">
        <v>162.91</v>
      </c>
      <c r="N237">
        <v>0</v>
      </c>
      <c r="O237">
        <v>325.82</v>
      </c>
      <c r="P237">
        <v>49.33</v>
      </c>
      <c r="Q237" t="s">
        <v>87</v>
      </c>
      <c r="R237" t="s">
        <v>72</v>
      </c>
    </row>
    <row r="238" spans="1:18" x14ac:dyDescent="0.3">
      <c r="A238" t="s">
        <v>693</v>
      </c>
      <c r="B238" t="s">
        <v>694</v>
      </c>
      <c r="C238" t="s">
        <v>695</v>
      </c>
      <c r="D238" t="s">
        <v>76</v>
      </c>
      <c r="E238" t="s">
        <v>45</v>
      </c>
      <c r="F238" t="s">
        <v>53</v>
      </c>
      <c r="G238" t="s">
        <v>36</v>
      </c>
      <c r="H238" t="s">
        <v>92</v>
      </c>
      <c r="I238" t="s">
        <v>78</v>
      </c>
      <c r="J238" t="s">
        <v>93</v>
      </c>
      <c r="K238" t="s">
        <v>94</v>
      </c>
      <c r="L238">
        <v>2</v>
      </c>
      <c r="M238">
        <v>374.33</v>
      </c>
      <c r="N238">
        <v>0.2</v>
      </c>
      <c r="O238">
        <v>598.92999999999995</v>
      </c>
      <c r="P238">
        <v>71.540000000000006</v>
      </c>
      <c r="Q238" t="s">
        <v>41</v>
      </c>
      <c r="R238" t="s">
        <v>30</v>
      </c>
    </row>
    <row r="239" spans="1:18" x14ac:dyDescent="0.3">
      <c r="A239" t="s">
        <v>696</v>
      </c>
      <c r="B239" t="s">
        <v>170</v>
      </c>
      <c r="C239" t="s">
        <v>697</v>
      </c>
      <c r="D239" t="s">
        <v>21</v>
      </c>
      <c r="E239" t="s">
        <v>45</v>
      </c>
      <c r="F239" t="s">
        <v>23</v>
      </c>
      <c r="G239" t="s">
        <v>24</v>
      </c>
      <c r="H239" t="s">
        <v>125</v>
      </c>
      <c r="I239" t="s">
        <v>78</v>
      </c>
      <c r="J239" t="s">
        <v>79</v>
      </c>
      <c r="K239" t="s">
        <v>143</v>
      </c>
      <c r="L239">
        <v>6</v>
      </c>
      <c r="M239">
        <v>83.19</v>
      </c>
      <c r="N239">
        <v>0.15</v>
      </c>
      <c r="O239">
        <v>424.27</v>
      </c>
      <c r="P239">
        <v>-44.97</v>
      </c>
      <c r="Q239" t="s">
        <v>29</v>
      </c>
      <c r="R239" t="s">
        <v>72</v>
      </c>
    </row>
    <row r="240" spans="1:18" x14ac:dyDescent="0.3">
      <c r="A240" t="s">
        <v>698</v>
      </c>
      <c r="B240" t="s">
        <v>699</v>
      </c>
      <c r="C240" t="s">
        <v>700</v>
      </c>
      <c r="D240" t="s">
        <v>34</v>
      </c>
      <c r="E240" t="s">
        <v>22</v>
      </c>
      <c r="F240" t="s">
        <v>46</v>
      </c>
      <c r="G240" t="s">
        <v>36</v>
      </c>
      <c r="H240" t="s">
        <v>92</v>
      </c>
      <c r="I240" t="s">
        <v>26</v>
      </c>
      <c r="J240" t="s">
        <v>27</v>
      </c>
      <c r="K240" t="s">
        <v>139</v>
      </c>
      <c r="L240">
        <v>3</v>
      </c>
      <c r="M240">
        <v>31.67</v>
      </c>
      <c r="N240">
        <v>0.1</v>
      </c>
      <c r="O240">
        <v>85.51</v>
      </c>
      <c r="P240">
        <v>-7.31</v>
      </c>
      <c r="Q240" t="s">
        <v>41</v>
      </c>
      <c r="R240" t="s">
        <v>56</v>
      </c>
    </row>
    <row r="241" spans="1:18" x14ac:dyDescent="0.3">
      <c r="A241" t="s">
        <v>701</v>
      </c>
      <c r="B241" t="s">
        <v>702</v>
      </c>
      <c r="C241" t="s">
        <v>555</v>
      </c>
      <c r="D241" t="s">
        <v>91</v>
      </c>
      <c r="E241" t="s">
        <v>22</v>
      </c>
      <c r="F241" t="s">
        <v>23</v>
      </c>
      <c r="G241" t="s">
        <v>24</v>
      </c>
      <c r="H241" t="s">
        <v>59</v>
      </c>
      <c r="I241" t="s">
        <v>38</v>
      </c>
      <c r="J241" t="s">
        <v>39</v>
      </c>
      <c r="K241" t="s">
        <v>98</v>
      </c>
      <c r="L241">
        <v>8</v>
      </c>
      <c r="M241">
        <v>75.89</v>
      </c>
      <c r="N241">
        <v>0.1</v>
      </c>
      <c r="O241">
        <v>546.41</v>
      </c>
      <c r="P241">
        <v>-97.39</v>
      </c>
      <c r="Q241" t="s">
        <v>29</v>
      </c>
      <c r="R241" t="s">
        <v>30</v>
      </c>
    </row>
    <row r="242" spans="1:18" x14ac:dyDescent="0.3">
      <c r="A242" t="s">
        <v>703</v>
      </c>
      <c r="B242" t="s">
        <v>704</v>
      </c>
      <c r="C242" t="s">
        <v>705</v>
      </c>
      <c r="D242" t="s">
        <v>120</v>
      </c>
      <c r="E242" t="s">
        <v>45</v>
      </c>
      <c r="F242" t="s">
        <v>46</v>
      </c>
      <c r="G242" t="s">
        <v>108</v>
      </c>
      <c r="H242" t="s">
        <v>109</v>
      </c>
      <c r="I242" t="s">
        <v>38</v>
      </c>
      <c r="J242" t="s">
        <v>39</v>
      </c>
      <c r="K242" t="s">
        <v>98</v>
      </c>
      <c r="L242">
        <v>2</v>
      </c>
      <c r="M242">
        <v>217.32</v>
      </c>
      <c r="N242">
        <v>0</v>
      </c>
      <c r="O242">
        <v>434.64</v>
      </c>
      <c r="P242">
        <v>-16.579999999999998</v>
      </c>
      <c r="Q242" t="s">
        <v>87</v>
      </c>
      <c r="R242" t="s">
        <v>62</v>
      </c>
    </row>
    <row r="243" spans="1:18" x14ac:dyDescent="0.3">
      <c r="A243" t="s">
        <v>706</v>
      </c>
      <c r="B243" t="s">
        <v>89</v>
      </c>
      <c r="C243" t="s">
        <v>707</v>
      </c>
      <c r="D243" t="s">
        <v>91</v>
      </c>
      <c r="E243" t="s">
        <v>22</v>
      </c>
      <c r="F243" t="s">
        <v>53</v>
      </c>
      <c r="G243" t="s">
        <v>84</v>
      </c>
      <c r="H243" t="s">
        <v>85</v>
      </c>
      <c r="I243" t="s">
        <v>78</v>
      </c>
      <c r="J243" t="s">
        <v>79</v>
      </c>
      <c r="K243" t="s">
        <v>80</v>
      </c>
      <c r="L243">
        <v>8</v>
      </c>
      <c r="M243">
        <v>27.72</v>
      </c>
      <c r="N243">
        <v>0.15</v>
      </c>
      <c r="O243">
        <v>188.5</v>
      </c>
      <c r="P243">
        <v>6.4</v>
      </c>
      <c r="Q243" t="s">
        <v>29</v>
      </c>
      <c r="R243" t="s">
        <v>30</v>
      </c>
    </row>
    <row r="244" spans="1:18" x14ac:dyDescent="0.3">
      <c r="A244" t="s">
        <v>708</v>
      </c>
      <c r="B244" t="s">
        <v>709</v>
      </c>
      <c r="C244" t="s">
        <v>694</v>
      </c>
      <c r="D244" t="s">
        <v>120</v>
      </c>
      <c r="E244" t="s">
        <v>22</v>
      </c>
      <c r="F244" t="s">
        <v>67</v>
      </c>
      <c r="G244" t="s">
        <v>36</v>
      </c>
      <c r="H244" t="s">
        <v>92</v>
      </c>
      <c r="I244" t="s">
        <v>26</v>
      </c>
      <c r="J244" t="s">
        <v>27</v>
      </c>
      <c r="K244" t="s">
        <v>179</v>
      </c>
      <c r="L244">
        <v>4</v>
      </c>
      <c r="M244">
        <v>252.69</v>
      </c>
      <c r="N244">
        <v>0.15</v>
      </c>
      <c r="O244">
        <v>859.15</v>
      </c>
      <c r="P244">
        <v>168.79</v>
      </c>
      <c r="Q244" t="s">
        <v>41</v>
      </c>
      <c r="R244" t="s">
        <v>30</v>
      </c>
    </row>
    <row r="245" spans="1:18" x14ac:dyDescent="0.3">
      <c r="A245" t="s">
        <v>710</v>
      </c>
      <c r="B245" t="s">
        <v>227</v>
      </c>
      <c r="C245" t="s">
        <v>711</v>
      </c>
      <c r="D245" t="s">
        <v>52</v>
      </c>
      <c r="E245" t="s">
        <v>35</v>
      </c>
      <c r="F245" t="s">
        <v>67</v>
      </c>
      <c r="G245" t="s">
        <v>36</v>
      </c>
      <c r="H245" t="s">
        <v>37</v>
      </c>
      <c r="I245" t="s">
        <v>78</v>
      </c>
      <c r="J245" t="s">
        <v>93</v>
      </c>
      <c r="K245" t="s">
        <v>94</v>
      </c>
      <c r="L245">
        <v>3</v>
      </c>
      <c r="M245">
        <v>61.16</v>
      </c>
      <c r="N245">
        <v>0.15</v>
      </c>
      <c r="O245">
        <v>155.96</v>
      </c>
      <c r="P245">
        <v>-15.67</v>
      </c>
      <c r="Q245" t="s">
        <v>87</v>
      </c>
      <c r="R245" t="s">
        <v>30</v>
      </c>
    </row>
    <row r="246" spans="1:18" x14ac:dyDescent="0.3">
      <c r="A246" t="s">
        <v>712</v>
      </c>
      <c r="B246" t="s">
        <v>713</v>
      </c>
      <c r="C246" t="s">
        <v>714</v>
      </c>
      <c r="D246" t="s">
        <v>21</v>
      </c>
      <c r="E246" t="s">
        <v>45</v>
      </c>
      <c r="F246" t="s">
        <v>23</v>
      </c>
      <c r="G246" t="s">
        <v>68</v>
      </c>
      <c r="H246" t="s">
        <v>77</v>
      </c>
      <c r="I246" t="s">
        <v>26</v>
      </c>
      <c r="J246" t="s">
        <v>27</v>
      </c>
      <c r="K246" t="s">
        <v>139</v>
      </c>
      <c r="L246">
        <v>3</v>
      </c>
      <c r="M246">
        <v>376.68</v>
      </c>
      <c r="N246">
        <v>0.1</v>
      </c>
      <c r="O246">
        <v>1017.04</v>
      </c>
      <c r="P246">
        <v>-33.479999999999997</v>
      </c>
      <c r="Q246" t="s">
        <v>41</v>
      </c>
      <c r="R246" t="s">
        <v>56</v>
      </c>
    </row>
    <row r="247" spans="1:18" x14ac:dyDescent="0.3">
      <c r="A247" t="s">
        <v>715</v>
      </c>
      <c r="B247" t="s">
        <v>373</v>
      </c>
      <c r="C247" t="s">
        <v>716</v>
      </c>
      <c r="D247" t="s">
        <v>21</v>
      </c>
      <c r="E247" t="s">
        <v>22</v>
      </c>
      <c r="F247" t="s">
        <v>53</v>
      </c>
      <c r="G247" t="s">
        <v>24</v>
      </c>
      <c r="H247" t="s">
        <v>25</v>
      </c>
      <c r="I247" t="s">
        <v>26</v>
      </c>
      <c r="J247" t="s">
        <v>70</v>
      </c>
      <c r="K247" t="s">
        <v>222</v>
      </c>
      <c r="L247">
        <v>7</v>
      </c>
      <c r="M247">
        <v>57.73</v>
      </c>
      <c r="N247">
        <v>0.05</v>
      </c>
      <c r="O247">
        <v>383.9</v>
      </c>
      <c r="P247">
        <v>-42.93</v>
      </c>
      <c r="Q247" t="s">
        <v>41</v>
      </c>
      <c r="R247" t="s">
        <v>72</v>
      </c>
    </row>
    <row r="248" spans="1:18" x14ac:dyDescent="0.3">
      <c r="A248" t="s">
        <v>717</v>
      </c>
      <c r="B248" t="s">
        <v>90</v>
      </c>
      <c r="C248" t="s">
        <v>130</v>
      </c>
      <c r="D248" t="s">
        <v>147</v>
      </c>
      <c r="E248" t="s">
        <v>45</v>
      </c>
      <c r="F248" t="s">
        <v>46</v>
      </c>
      <c r="G248" t="s">
        <v>108</v>
      </c>
      <c r="H248" t="s">
        <v>109</v>
      </c>
      <c r="I248" t="s">
        <v>78</v>
      </c>
      <c r="J248" t="s">
        <v>79</v>
      </c>
      <c r="K248" t="s">
        <v>143</v>
      </c>
      <c r="L248">
        <v>8</v>
      </c>
      <c r="M248">
        <v>24.56</v>
      </c>
      <c r="N248">
        <v>0.1</v>
      </c>
      <c r="O248">
        <v>176.83</v>
      </c>
      <c r="P248">
        <v>0.95</v>
      </c>
      <c r="Q248" t="s">
        <v>55</v>
      </c>
      <c r="R248" t="s">
        <v>30</v>
      </c>
    </row>
    <row r="249" spans="1:18" x14ac:dyDescent="0.3">
      <c r="A249" t="s">
        <v>718</v>
      </c>
      <c r="B249" t="s">
        <v>192</v>
      </c>
      <c r="C249" t="s">
        <v>585</v>
      </c>
      <c r="D249" t="s">
        <v>21</v>
      </c>
      <c r="E249" t="s">
        <v>35</v>
      </c>
      <c r="F249" t="s">
        <v>67</v>
      </c>
      <c r="G249" t="s">
        <v>84</v>
      </c>
      <c r="H249" t="s">
        <v>131</v>
      </c>
      <c r="I249" t="s">
        <v>26</v>
      </c>
      <c r="J249" t="s">
        <v>27</v>
      </c>
      <c r="K249" t="s">
        <v>179</v>
      </c>
      <c r="L249">
        <v>1</v>
      </c>
      <c r="M249">
        <v>157.34</v>
      </c>
      <c r="N249">
        <v>0.1</v>
      </c>
      <c r="O249">
        <v>141.61000000000001</v>
      </c>
      <c r="P249">
        <v>-5.23</v>
      </c>
      <c r="Q249" t="s">
        <v>87</v>
      </c>
      <c r="R249" t="s">
        <v>56</v>
      </c>
    </row>
    <row r="250" spans="1:18" x14ac:dyDescent="0.3">
      <c r="A250" t="s">
        <v>719</v>
      </c>
      <c r="B250" t="s">
        <v>720</v>
      </c>
      <c r="C250" t="s">
        <v>721</v>
      </c>
      <c r="D250" t="s">
        <v>120</v>
      </c>
      <c r="E250" t="s">
        <v>22</v>
      </c>
      <c r="F250" t="s">
        <v>46</v>
      </c>
      <c r="G250" t="s">
        <v>36</v>
      </c>
      <c r="H250" t="s">
        <v>37</v>
      </c>
      <c r="I250" t="s">
        <v>78</v>
      </c>
      <c r="J250" t="s">
        <v>79</v>
      </c>
      <c r="K250" t="s">
        <v>80</v>
      </c>
      <c r="L250">
        <v>2</v>
      </c>
      <c r="M250">
        <v>91.07</v>
      </c>
      <c r="N250">
        <v>0.05</v>
      </c>
      <c r="O250">
        <v>173.03</v>
      </c>
      <c r="P250">
        <v>41.56</v>
      </c>
      <c r="Q250" t="s">
        <v>55</v>
      </c>
      <c r="R250" t="s">
        <v>30</v>
      </c>
    </row>
    <row r="251" spans="1:18" x14ac:dyDescent="0.3">
      <c r="A251" t="s">
        <v>722</v>
      </c>
      <c r="B251" t="s">
        <v>723</v>
      </c>
      <c r="C251" t="s">
        <v>724</v>
      </c>
      <c r="D251" t="s">
        <v>76</v>
      </c>
      <c r="E251" t="s">
        <v>35</v>
      </c>
      <c r="F251" t="s">
        <v>67</v>
      </c>
      <c r="G251" t="s">
        <v>36</v>
      </c>
      <c r="H251" t="s">
        <v>92</v>
      </c>
      <c r="I251" t="s">
        <v>78</v>
      </c>
      <c r="J251" t="s">
        <v>79</v>
      </c>
      <c r="K251" t="s">
        <v>80</v>
      </c>
      <c r="L251">
        <v>3</v>
      </c>
      <c r="M251">
        <v>352.99</v>
      </c>
      <c r="N251">
        <v>0.2</v>
      </c>
      <c r="O251">
        <v>847.18</v>
      </c>
      <c r="P251">
        <v>190.19</v>
      </c>
      <c r="Q251" t="s">
        <v>55</v>
      </c>
      <c r="R251" t="s">
        <v>30</v>
      </c>
    </row>
    <row r="252" spans="1:18" x14ac:dyDescent="0.3">
      <c r="A252" t="s">
        <v>99</v>
      </c>
      <c r="B252" t="s">
        <v>100</v>
      </c>
      <c r="C252" t="s">
        <v>101</v>
      </c>
      <c r="D252" t="s">
        <v>52</v>
      </c>
      <c r="E252" t="s">
        <v>35</v>
      </c>
      <c r="F252" t="s">
        <v>67</v>
      </c>
      <c r="G252" t="s">
        <v>24</v>
      </c>
      <c r="H252" t="s">
        <v>25</v>
      </c>
      <c r="I252" t="s">
        <v>26</v>
      </c>
      <c r="J252" t="s">
        <v>70</v>
      </c>
      <c r="K252" t="s">
        <v>86</v>
      </c>
      <c r="L252">
        <v>6</v>
      </c>
      <c r="M252">
        <v>223.96</v>
      </c>
      <c r="N252">
        <v>0</v>
      </c>
      <c r="O252">
        <v>1343.76</v>
      </c>
      <c r="P252">
        <v>332.43</v>
      </c>
      <c r="Q252" t="s">
        <v>29</v>
      </c>
      <c r="R252" t="s">
        <v>30</v>
      </c>
    </row>
    <row r="253" spans="1:18" x14ac:dyDescent="0.3">
      <c r="A253" t="s">
        <v>223</v>
      </c>
      <c r="B253" t="s">
        <v>224</v>
      </c>
      <c r="C253" t="s">
        <v>134</v>
      </c>
      <c r="D253" t="s">
        <v>21</v>
      </c>
      <c r="E253" t="s">
        <v>45</v>
      </c>
      <c r="F253" t="s">
        <v>23</v>
      </c>
      <c r="G253" t="s">
        <v>47</v>
      </c>
      <c r="H253" t="s">
        <v>48</v>
      </c>
      <c r="I253" t="s">
        <v>26</v>
      </c>
      <c r="J253" t="s">
        <v>70</v>
      </c>
      <c r="K253" t="s">
        <v>71</v>
      </c>
      <c r="L253">
        <v>7</v>
      </c>
      <c r="M253">
        <v>372.97</v>
      </c>
      <c r="N253">
        <v>0.2</v>
      </c>
      <c r="O253">
        <v>2088.63</v>
      </c>
      <c r="P253">
        <v>-118.09</v>
      </c>
      <c r="Q253" t="s">
        <v>87</v>
      </c>
      <c r="R253" t="s">
        <v>72</v>
      </c>
    </row>
  </sheetData>
  <autoFilter ref="A1:R2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4AEE-1FED-4C04-A605-50673BBC50C1}">
  <dimension ref="A1:U253"/>
  <sheetViews>
    <sheetView zoomScale="91" zoomScaleNormal="91" workbookViewId="0">
      <selection activeCell="P77" sqref="P77"/>
    </sheetView>
  </sheetViews>
  <sheetFormatPr defaultRowHeight="14.4" x14ac:dyDescent="0.3"/>
  <cols>
    <col min="1" max="1" width="9.88671875" style="2" customWidth="1"/>
    <col min="2" max="2" width="18.109375" style="12" bestFit="1" customWidth="1"/>
    <col min="3" max="3" width="10.88671875" style="3" customWidth="1"/>
    <col min="4" max="4" width="16.44140625" style="2" customWidth="1"/>
    <col min="5" max="5" width="11.33203125" style="2" bestFit="1" customWidth="1"/>
    <col min="6" max="6" width="8.6640625" style="2" customWidth="1"/>
    <col min="7" max="7" width="15.6640625" customWidth="1"/>
    <col min="8" max="8" width="10.6640625" style="2" bestFit="1" customWidth="1"/>
    <col min="9" max="9" width="12.44140625" style="2" bestFit="1" customWidth="1"/>
    <col min="10" max="10" width="13.109375" style="2" bestFit="1" customWidth="1"/>
    <col min="11" max="11" width="14.33203125" style="2" customWidth="1"/>
    <col min="12" max="12" width="17.21875" style="2" bestFit="1" customWidth="1"/>
    <col min="13" max="13" width="10.21875" style="5" customWidth="1"/>
    <col min="14" max="14" width="17" style="5" customWidth="1"/>
    <col min="15" max="15" width="11" style="4" customWidth="1"/>
    <col min="16" max="16" width="10.21875" style="6" customWidth="1"/>
    <col min="17" max="17" width="8.88671875" style="4"/>
    <col min="18" max="18" width="14" style="4" customWidth="1"/>
    <col min="19" max="19" width="8.88671875" style="4"/>
    <col min="20" max="20" width="12.77734375" style="2" bestFit="1" customWidth="1"/>
    <col min="21" max="21" width="15" style="2" customWidth="1"/>
  </cols>
  <sheetData>
    <row r="1" spans="1:21" x14ac:dyDescent="0.3">
      <c r="A1" s="7" t="s">
        <v>0</v>
      </c>
      <c r="B1" s="13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17" t="s">
        <v>743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9" t="s">
        <v>11</v>
      </c>
      <c r="N1" s="9" t="s">
        <v>737</v>
      </c>
      <c r="O1" s="10" t="s">
        <v>12</v>
      </c>
      <c r="P1" s="11" t="s">
        <v>13</v>
      </c>
      <c r="Q1" s="10" t="s">
        <v>14</v>
      </c>
      <c r="R1" s="10" t="s">
        <v>732</v>
      </c>
      <c r="S1" s="10" t="s">
        <v>15</v>
      </c>
      <c r="T1" s="7" t="s">
        <v>16</v>
      </c>
      <c r="U1" s="7" t="s">
        <v>17</v>
      </c>
    </row>
    <row r="2" spans="1:21" x14ac:dyDescent="0.3">
      <c r="A2" s="2" t="s">
        <v>18</v>
      </c>
      <c r="B2" s="12">
        <v>45041</v>
      </c>
      <c r="C2" s="3" t="s">
        <v>20</v>
      </c>
      <c r="D2" s="2" t="s">
        <v>21</v>
      </c>
      <c r="E2" s="2" t="s">
        <v>22</v>
      </c>
      <c r="F2" s="2" t="s">
        <v>23</v>
      </c>
      <c r="G2" t="str">
        <f t="shared" ref="G2:G65" si="0">IF(TRIM(F2)="","",PROPER(TRIM(F2)))</f>
        <v>South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5">
        <v>5</v>
      </c>
      <c r="N2" s="5">
        <f t="shared" ref="N2:N65" si="1">IFERROR(IF(TRIM(M2)="","",IF(UPPER(TRIM(M2))="N/A","",IF(VALUE(M2)&lt;0,"",VALUE(M2)))),"")</f>
        <v>5</v>
      </c>
      <c r="O2" s="4">
        <v>116.24</v>
      </c>
      <c r="P2" s="6">
        <v>0.05</v>
      </c>
      <c r="Q2" s="4">
        <v>552.14</v>
      </c>
      <c r="R2" s="4">
        <f t="shared" ref="R2:R65" si="2">IFERROR(IF(Q2&lt;&gt;"",Q2,IF(OR(M2="",O2="",P2=""),"",IF(OR(M2&lt;=0,O2&lt;=0,P2&lt;0,P2&gt;1),"",ROUND(M2*O2*(1-P2),2)))),"")</f>
        <v>552.14</v>
      </c>
      <c r="S2" s="4">
        <v>87.67</v>
      </c>
      <c r="T2" s="2" t="s">
        <v>29</v>
      </c>
      <c r="U2" s="2" t="s">
        <v>30</v>
      </c>
    </row>
    <row r="3" spans="1:21" x14ac:dyDescent="0.3">
      <c r="A3" s="2" t="s">
        <v>31</v>
      </c>
      <c r="B3" s="12">
        <v>45165</v>
      </c>
      <c r="C3" s="3" t="s">
        <v>33</v>
      </c>
      <c r="D3" s="2" t="s">
        <v>34</v>
      </c>
      <c r="E3" s="2" t="s">
        <v>35</v>
      </c>
      <c r="F3" s="2" t="s">
        <v>23</v>
      </c>
      <c r="G3" t="str">
        <f t="shared" si="0"/>
        <v>South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5">
        <v>1</v>
      </c>
      <c r="N3" s="5">
        <f t="shared" si="1"/>
        <v>1</v>
      </c>
      <c r="O3" s="4">
        <v>256.07</v>
      </c>
      <c r="P3" s="6">
        <v>0.3</v>
      </c>
      <c r="Q3" s="4">
        <v>179.25</v>
      </c>
      <c r="R3" s="4">
        <f t="shared" si="2"/>
        <v>179.25</v>
      </c>
      <c r="S3" s="4">
        <v>21.32</v>
      </c>
      <c r="T3" s="2" t="s">
        <v>41</v>
      </c>
      <c r="U3" s="2" t="s">
        <v>30</v>
      </c>
    </row>
    <row r="4" spans="1:21" x14ac:dyDescent="0.3">
      <c r="A4" s="2" t="s">
        <v>42</v>
      </c>
      <c r="B4" s="12">
        <v>45641</v>
      </c>
      <c r="C4" s="3" t="s">
        <v>44</v>
      </c>
      <c r="D4" s="2" t="s">
        <v>21</v>
      </c>
      <c r="E4" s="2" t="s">
        <v>45</v>
      </c>
      <c r="F4" s="2" t="s">
        <v>46</v>
      </c>
      <c r="G4" t="str">
        <f t="shared" si="0"/>
        <v>Central</v>
      </c>
      <c r="H4" s="2" t="s">
        <v>47</v>
      </c>
      <c r="I4" s="2" t="s">
        <v>48</v>
      </c>
      <c r="J4" s="2" t="s">
        <v>38</v>
      </c>
      <c r="K4" s="2" t="s">
        <v>39</v>
      </c>
      <c r="L4" s="2" t="s">
        <v>40</v>
      </c>
      <c r="M4" s="5">
        <v>5</v>
      </c>
      <c r="N4" s="5">
        <f t="shared" si="1"/>
        <v>5</v>
      </c>
      <c r="O4" s="4">
        <v>76.72</v>
      </c>
      <c r="P4" s="6">
        <v>0.1</v>
      </c>
      <c r="Q4" s="4">
        <v>345.24</v>
      </c>
      <c r="R4" s="4">
        <f t="shared" si="2"/>
        <v>345.24</v>
      </c>
      <c r="S4" s="4">
        <v>-45.91</v>
      </c>
      <c r="T4" s="2" t="s">
        <v>41</v>
      </c>
      <c r="U4" s="2" t="s">
        <v>30</v>
      </c>
    </row>
    <row r="5" spans="1:21" x14ac:dyDescent="0.3">
      <c r="A5" s="2" t="s">
        <v>49</v>
      </c>
      <c r="B5" s="12">
        <v>45397</v>
      </c>
      <c r="C5" s="3" t="s">
        <v>51</v>
      </c>
      <c r="D5" s="2" t="s">
        <v>52</v>
      </c>
      <c r="E5" s="2" t="s">
        <v>22</v>
      </c>
      <c r="F5" s="2" t="s">
        <v>53</v>
      </c>
      <c r="G5" t="str">
        <f t="shared" si="0"/>
        <v>West</v>
      </c>
      <c r="H5" s="2" t="s">
        <v>36</v>
      </c>
      <c r="I5" s="2" t="s">
        <v>54</v>
      </c>
      <c r="J5" s="2" t="s">
        <v>26</v>
      </c>
      <c r="K5" s="2" t="s">
        <v>27</v>
      </c>
      <c r="L5" s="2" t="s">
        <v>28</v>
      </c>
      <c r="M5" s="5">
        <v>7</v>
      </c>
      <c r="N5" s="5">
        <f t="shared" si="1"/>
        <v>7</v>
      </c>
      <c r="O5" s="4">
        <v>42.83</v>
      </c>
      <c r="P5" s="6">
        <v>0.1</v>
      </c>
      <c r="Q5" s="4">
        <v>269.83</v>
      </c>
      <c r="R5" s="4">
        <f t="shared" si="2"/>
        <v>269.83</v>
      </c>
      <c r="S5" s="4">
        <v>54.38</v>
      </c>
      <c r="T5" s="2" t="s">
        <v>55</v>
      </c>
      <c r="U5" s="2" t="s">
        <v>56</v>
      </c>
    </row>
    <row r="6" spans="1:21" x14ac:dyDescent="0.3">
      <c r="A6" s="2" t="s">
        <v>57</v>
      </c>
      <c r="B6" s="12">
        <v>45165</v>
      </c>
      <c r="C6" s="3" t="s">
        <v>58</v>
      </c>
      <c r="D6" s="2" t="s">
        <v>52</v>
      </c>
      <c r="E6" s="2" t="s">
        <v>22</v>
      </c>
      <c r="F6" s="2" t="s">
        <v>46</v>
      </c>
      <c r="G6" t="str">
        <f t="shared" si="0"/>
        <v>Central</v>
      </c>
      <c r="H6" s="2" t="s">
        <v>24</v>
      </c>
      <c r="I6" s="2" t="s">
        <v>59</v>
      </c>
      <c r="J6" s="2" t="s">
        <v>38</v>
      </c>
      <c r="K6" s="2" t="s">
        <v>60</v>
      </c>
      <c r="L6" s="2" t="s">
        <v>61</v>
      </c>
      <c r="M6" s="5">
        <v>5</v>
      </c>
      <c r="N6" s="5">
        <f t="shared" si="1"/>
        <v>5</v>
      </c>
      <c r="O6" s="4">
        <v>208.41</v>
      </c>
      <c r="P6" s="6">
        <v>0.1</v>
      </c>
      <c r="Q6" s="4">
        <v>937.85</v>
      </c>
      <c r="R6" s="4">
        <f t="shared" si="2"/>
        <v>937.85</v>
      </c>
      <c r="S6" s="4">
        <v>-98.64</v>
      </c>
      <c r="T6" s="2" t="s">
        <v>29</v>
      </c>
      <c r="U6" s="2" t="s">
        <v>62</v>
      </c>
    </row>
    <row r="7" spans="1:21" x14ac:dyDescent="0.3">
      <c r="A7" s="2" t="s">
        <v>63</v>
      </c>
      <c r="B7" s="12">
        <v>45177</v>
      </c>
      <c r="C7" s="3" t="s">
        <v>65</v>
      </c>
      <c r="D7" s="2" t="s">
        <v>66</v>
      </c>
      <c r="E7" s="2" t="s">
        <v>35</v>
      </c>
      <c r="F7" s="2" t="s">
        <v>67</v>
      </c>
      <c r="G7" t="str">
        <f t="shared" si="0"/>
        <v>East</v>
      </c>
      <c r="H7" s="2" t="s">
        <v>68</v>
      </c>
      <c r="I7" s="2" t="s">
        <v>69</v>
      </c>
      <c r="J7" s="2" t="s">
        <v>26</v>
      </c>
      <c r="K7" s="2" t="s">
        <v>70</v>
      </c>
      <c r="L7" s="2" t="s">
        <v>71</v>
      </c>
      <c r="M7" s="5">
        <v>7</v>
      </c>
      <c r="N7" s="5">
        <f t="shared" si="1"/>
        <v>7</v>
      </c>
      <c r="O7" s="4">
        <v>127.32</v>
      </c>
      <c r="P7" s="6">
        <v>0.3</v>
      </c>
      <c r="Q7" s="4">
        <v>623.87</v>
      </c>
      <c r="R7" s="4">
        <f t="shared" si="2"/>
        <v>623.87</v>
      </c>
      <c r="S7" s="4">
        <v>85.19</v>
      </c>
      <c r="T7" s="2" t="s">
        <v>41</v>
      </c>
      <c r="U7" s="2" t="s">
        <v>72</v>
      </c>
    </row>
    <row r="8" spans="1:21" x14ac:dyDescent="0.3">
      <c r="A8" s="2" t="s">
        <v>73</v>
      </c>
      <c r="B8" s="12">
        <v>44994</v>
      </c>
      <c r="C8" s="3" t="s">
        <v>75</v>
      </c>
      <c r="D8" s="2" t="s">
        <v>76</v>
      </c>
      <c r="E8" s="2" t="s">
        <v>45</v>
      </c>
      <c r="F8" s="2" t="s">
        <v>67</v>
      </c>
      <c r="G8" t="str">
        <f t="shared" si="0"/>
        <v>East</v>
      </c>
      <c r="H8" s="2" t="s">
        <v>68</v>
      </c>
      <c r="I8" s="2" t="s">
        <v>77</v>
      </c>
      <c r="J8" s="2" t="s">
        <v>78</v>
      </c>
      <c r="K8" s="2" t="s">
        <v>79</v>
      </c>
      <c r="L8" s="2" t="s">
        <v>80</v>
      </c>
      <c r="M8" s="5">
        <v>6</v>
      </c>
      <c r="N8" s="5">
        <f t="shared" si="1"/>
        <v>6</v>
      </c>
      <c r="O8" s="4">
        <v>101.98</v>
      </c>
      <c r="P8" s="6">
        <v>0.15</v>
      </c>
      <c r="Q8" s="4">
        <v>520.1</v>
      </c>
      <c r="R8" s="4">
        <f t="shared" si="2"/>
        <v>520.1</v>
      </c>
      <c r="S8" s="4">
        <v>1.04</v>
      </c>
      <c r="T8" s="2" t="s">
        <v>41</v>
      </c>
      <c r="U8" s="2" t="s">
        <v>72</v>
      </c>
    </row>
    <row r="9" spans="1:21" x14ac:dyDescent="0.3">
      <c r="A9" s="2" t="s">
        <v>81</v>
      </c>
      <c r="B9" s="12">
        <v>45335</v>
      </c>
      <c r="C9" s="3" t="s">
        <v>83</v>
      </c>
      <c r="E9" s="2" t="s">
        <v>22</v>
      </c>
      <c r="F9" s="2" t="s">
        <v>67</v>
      </c>
      <c r="G9" t="str">
        <f t="shared" si="0"/>
        <v>East</v>
      </c>
      <c r="H9" s="2" t="s">
        <v>84</v>
      </c>
      <c r="I9" s="2" t="s">
        <v>85</v>
      </c>
      <c r="J9" s="2" t="s">
        <v>26</v>
      </c>
      <c r="K9" s="2" t="s">
        <v>70</v>
      </c>
      <c r="L9" s="2" t="s">
        <v>86</v>
      </c>
      <c r="M9" s="5">
        <v>3</v>
      </c>
      <c r="N9" s="5">
        <f t="shared" si="1"/>
        <v>3</v>
      </c>
      <c r="O9" s="4">
        <v>233.21</v>
      </c>
      <c r="P9" s="6">
        <v>0</v>
      </c>
      <c r="Q9" s="4">
        <v>699.63</v>
      </c>
      <c r="R9" s="4">
        <f t="shared" si="2"/>
        <v>699.63</v>
      </c>
      <c r="S9" s="4">
        <v>117.3</v>
      </c>
      <c r="T9" s="2" t="s">
        <v>87</v>
      </c>
      <c r="U9" s="2" t="s">
        <v>30</v>
      </c>
    </row>
    <row r="10" spans="1:21" x14ac:dyDescent="0.3">
      <c r="A10" s="2" t="s">
        <v>88</v>
      </c>
      <c r="B10" s="12">
        <v>45317</v>
      </c>
      <c r="C10" s="3" t="s">
        <v>90</v>
      </c>
      <c r="D10" s="2" t="s">
        <v>91</v>
      </c>
      <c r="E10" s="2" t="s">
        <v>22</v>
      </c>
      <c r="F10" s="2" t="s">
        <v>46</v>
      </c>
      <c r="G10" t="str">
        <f t="shared" si="0"/>
        <v>Central</v>
      </c>
      <c r="H10" s="2" t="s">
        <v>36</v>
      </c>
      <c r="I10" s="2" t="s">
        <v>92</v>
      </c>
      <c r="J10" s="2" t="s">
        <v>78</v>
      </c>
      <c r="K10" s="2" t="s">
        <v>93</v>
      </c>
      <c r="L10" s="2" t="s">
        <v>94</v>
      </c>
      <c r="M10" s="5">
        <v>5</v>
      </c>
      <c r="N10" s="5">
        <f t="shared" si="1"/>
        <v>5</v>
      </c>
      <c r="O10" s="4">
        <v>437.22</v>
      </c>
      <c r="P10" s="6">
        <v>0</v>
      </c>
      <c r="Q10" s="4">
        <v>2186.1</v>
      </c>
      <c r="R10" s="4">
        <f t="shared" si="2"/>
        <v>2186.1</v>
      </c>
      <c r="S10" s="4">
        <v>290.60000000000002</v>
      </c>
      <c r="T10" s="2" t="s">
        <v>41</v>
      </c>
      <c r="U10" s="2" t="s">
        <v>72</v>
      </c>
    </row>
    <row r="11" spans="1:21" x14ac:dyDescent="0.3">
      <c r="A11" s="2" t="s">
        <v>95</v>
      </c>
      <c r="B11" s="12">
        <v>45391</v>
      </c>
      <c r="C11" s="3" t="s">
        <v>97</v>
      </c>
      <c r="D11" s="2" t="s">
        <v>91</v>
      </c>
      <c r="E11" s="2" t="s">
        <v>22</v>
      </c>
      <c r="F11" s="2" t="s">
        <v>67</v>
      </c>
      <c r="G11" t="str">
        <f t="shared" si="0"/>
        <v>East</v>
      </c>
      <c r="H11" s="2" t="s">
        <v>24</v>
      </c>
      <c r="I11" s="2" t="s">
        <v>25</v>
      </c>
      <c r="J11" s="2" t="s">
        <v>38</v>
      </c>
      <c r="K11" s="2" t="s">
        <v>39</v>
      </c>
      <c r="L11" s="2" t="s">
        <v>98</v>
      </c>
      <c r="M11" s="5">
        <v>5</v>
      </c>
      <c r="N11" s="5">
        <f t="shared" si="1"/>
        <v>5</v>
      </c>
      <c r="O11" s="4">
        <v>437.57</v>
      </c>
      <c r="P11" s="6">
        <v>0.05</v>
      </c>
      <c r="Q11" s="4">
        <v>2078.46</v>
      </c>
      <c r="R11" s="4">
        <f t="shared" si="2"/>
        <v>2078.46</v>
      </c>
      <c r="S11" s="4">
        <v>111.27</v>
      </c>
      <c r="T11" s="2" t="s">
        <v>41</v>
      </c>
      <c r="U11" s="2" t="s">
        <v>62</v>
      </c>
    </row>
    <row r="12" spans="1:21" x14ac:dyDescent="0.3">
      <c r="A12" s="2" t="s">
        <v>99</v>
      </c>
      <c r="B12" s="12">
        <v>45470</v>
      </c>
      <c r="C12" s="3" t="s">
        <v>101</v>
      </c>
      <c r="D12" s="2" t="s">
        <v>52</v>
      </c>
      <c r="E12" s="2" t="s">
        <v>35</v>
      </c>
      <c r="F12" s="2" t="s">
        <v>67</v>
      </c>
      <c r="G12" t="str">
        <f t="shared" si="0"/>
        <v>East</v>
      </c>
      <c r="H12" s="2" t="s">
        <v>24</v>
      </c>
      <c r="I12" s="2" t="s">
        <v>25</v>
      </c>
      <c r="J12" s="2" t="s">
        <v>26</v>
      </c>
      <c r="K12" s="2" t="s">
        <v>70</v>
      </c>
      <c r="L12" s="2" t="s">
        <v>86</v>
      </c>
      <c r="M12" s="5">
        <v>6</v>
      </c>
      <c r="N12" s="5">
        <f t="shared" si="1"/>
        <v>6</v>
      </c>
      <c r="O12" s="4">
        <v>223.96</v>
      </c>
      <c r="P12" s="6">
        <v>0</v>
      </c>
      <c r="Q12" s="4">
        <v>1343.76</v>
      </c>
      <c r="R12" s="4">
        <f t="shared" si="2"/>
        <v>1343.76</v>
      </c>
      <c r="S12" s="4">
        <v>332.43</v>
      </c>
      <c r="T12" s="2" t="s">
        <v>29</v>
      </c>
      <c r="U12" s="2" t="s">
        <v>30</v>
      </c>
    </row>
    <row r="13" spans="1:21" x14ac:dyDescent="0.3">
      <c r="A13" s="2" t="s">
        <v>102</v>
      </c>
      <c r="B13" s="12">
        <v>45424</v>
      </c>
      <c r="C13" s="3" t="s">
        <v>104</v>
      </c>
      <c r="D13" s="2" t="s">
        <v>91</v>
      </c>
      <c r="E13" s="2" t="s">
        <v>22</v>
      </c>
      <c r="F13" s="2" t="s">
        <v>23</v>
      </c>
      <c r="G13" t="str">
        <f t="shared" si="0"/>
        <v>South</v>
      </c>
      <c r="H13" s="2" t="s">
        <v>24</v>
      </c>
      <c r="I13" s="2" t="s">
        <v>25</v>
      </c>
      <c r="J13" s="2" t="s">
        <v>26</v>
      </c>
      <c r="K13" s="2" t="s">
        <v>27</v>
      </c>
      <c r="L13" s="2" t="s">
        <v>28</v>
      </c>
      <c r="M13" s="5">
        <v>3</v>
      </c>
      <c r="N13" s="5">
        <f t="shared" si="1"/>
        <v>3</v>
      </c>
      <c r="O13" s="4">
        <v>64.75</v>
      </c>
      <c r="P13" s="6">
        <v>0.15</v>
      </c>
      <c r="Q13" s="4">
        <v>165.11</v>
      </c>
      <c r="R13" s="4">
        <f t="shared" si="2"/>
        <v>165.11</v>
      </c>
      <c r="S13" s="4">
        <v>42.19</v>
      </c>
      <c r="T13" s="2" t="s">
        <v>55</v>
      </c>
      <c r="U13" s="2" t="s">
        <v>56</v>
      </c>
    </row>
    <row r="14" spans="1:21" x14ac:dyDescent="0.3">
      <c r="A14" s="2" t="s">
        <v>105</v>
      </c>
      <c r="B14" s="12">
        <v>45614</v>
      </c>
      <c r="C14" s="3" t="s">
        <v>107</v>
      </c>
      <c r="D14" s="2" t="s">
        <v>21</v>
      </c>
      <c r="E14" s="2" t="s">
        <v>45</v>
      </c>
      <c r="F14" s="2" t="s">
        <v>53</v>
      </c>
      <c r="G14" t="str">
        <f t="shared" si="0"/>
        <v>West</v>
      </c>
      <c r="H14" s="2" t="s">
        <v>108</v>
      </c>
      <c r="I14" s="2" t="s">
        <v>109</v>
      </c>
      <c r="J14" s="2" t="s">
        <v>78</v>
      </c>
      <c r="K14" s="2" t="s">
        <v>93</v>
      </c>
      <c r="L14" s="2" t="s">
        <v>110</v>
      </c>
      <c r="M14" s="5">
        <v>8</v>
      </c>
      <c r="N14" s="5">
        <f t="shared" si="1"/>
        <v>8</v>
      </c>
      <c r="O14" s="4">
        <v>405.63</v>
      </c>
      <c r="P14" s="6">
        <v>0.15</v>
      </c>
      <c r="Q14" s="4">
        <v>2758.28</v>
      </c>
      <c r="R14" s="4">
        <f t="shared" si="2"/>
        <v>2758.28</v>
      </c>
      <c r="S14" s="4">
        <v>-342.96</v>
      </c>
      <c r="T14" s="2" t="s">
        <v>55</v>
      </c>
      <c r="U14" s="2" t="s">
        <v>62</v>
      </c>
    </row>
    <row r="15" spans="1:21" x14ac:dyDescent="0.3">
      <c r="A15" s="2" t="s">
        <v>111</v>
      </c>
      <c r="B15" s="12">
        <v>44999</v>
      </c>
      <c r="C15" s="3" t="s">
        <v>113</v>
      </c>
      <c r="D15" s="2" t="s">
        <v>52</v>
      </c>
      <c r="E15" s="2" t="s">
        <v>45</v>
      </c>
      <c r="F15" s="2" t="s">
        <v>725</v>
      </c>
      <c r="G15" t="str">
        <f t="shared" si="0"/>
        <v>West</v>
      </c>
      <c r="H15" s="2" t="s">
        <v>108</v>
      </c>
      <c r="I15" s="2" t="s">
        <v>115</v>
      </c>
      <c r="J15" s="2" t="s">
        <v>38</v>
      </c>
      <c r="K15" s="2" t="s">
        <v>60</v>
      </c>
      <c r="L15" s="2" t="s">
        <v>116</v>
      </c>
      <c r="M15" s="5">
        <v>1</v>
      </c>
      <c r="N15" s="5">
        <f t="shared" si="1"/>
        <v>1</v>
      </c>
      <c r="O15" s="4">
        <v>109.19</v>
      </c>
      <c r="P15" s="6">
        <v>0</v>
      </c>
      <c r="Q15" s="4">
        <v>109.19</v>
      </c>
      <c r="R15" s="4">
        <f t="shared" si="2"/>
        <v>109.19</v>
      </c>
      <c r="S15" s="4">
        <v>23.52</v>
      </c>
      <c r="T15" s="2" t="s">
        <v>55</v>
      </c>
      <c r="U15" s="2" t="s">
        <v>72</v>
      </c>
    </row>
    <row r="16" spans="1:21" x14ac:dyDescent="0.3">
      <c r="A16" s="2" t="s">
        <v>117</v>
      </c>
      <c r="B16" s="12">
        <v>45411</v>
      </c>
      <c r="C16" s="3" t="s">
        <v>119</v>
      </c>
      <c r="D16" s="2" t="s">
        <v>120</v>
      </c>
      <c r="E16" s="2" t="s">
        <v>22</v>
      </c>
      <c r="F16" s="2" t="s">
        <v>53</v>
      </c>
      <c r="G16" t="str">
        <f t="shared" si="0"/>
        <v>West</v>
      </c>
      <c r="H16" s="2" t="s">
        <v>47</v>
      </c>
      <c r="I16" s="2" t="s">
        <v>121</v>
      </c>
      <c r="J16" s="2" t="s">
        <v>38</v>
      </c>
      <c r="K16" s="2" t="s">
        <v>39</v>
      </c>
      <c r="L16" s="2" t="s">
        <v>40</v>
      </c>
      <c r="M16" s="5">
        <v>2</v>
      </c>
      <c r="N16" s="5">
        <f t="shared" si="1"/>
        <v>2</v>
      </c>
      <c r="O16" s="4">
        <v>50.84</v>
      </c>
      <c r="P16" s="6">
        <v>0.15</v>
      </c>
      <c r="Q16" s="4">
        <v>86.43</v>
      </c>
      <c r="R16" s="4">
        <f t="shared" si="2"/>
        <v>86.43</v>
      </c>
      <c r="S16" s="4">
        <v>-1.47</v>
      </c>
      <c r="T16" s="2" t="s">
        <v>29</v>
      </c>
      <c r="U16" s="2" t="s">
        <v>30</v>
      </c>
    </row>
    <row r="17" spans="1:21" x14ac:dyDescent="0.3">
      <c r="A17" s="2" t="s">
        <v>122</v>
      </c>
      <c r="B17" s="12">
        <v>45274</v>
      </c>
      <c r="C17" s="3" t="s">
        <v>124</v>
      </c>
      <c r="D17" s="2" t="s">
        <v>91</v>
      </c>
      <c r="E17" s="2" t="s">
        <v>45</v>
      </c>
      <c r="F17" s="2" t="s">
        <v>67</v>
      </c>
      <c r="G17" t="str">
        <f t="shared" si="0"/>
        <v>East</v>
      </c>
      <c r="H17" s="2" t="s">
        <v>24</v>
      </c>
      <c r="I17" s="2" t="s">
        <v>125</v>
      </c>
      <c r="J17" s="2" t="s">
        <v>78</v>
      </c>
      <c r="K17" s="2" t="s">
        <v>93</v>
      </c>
      <c r="L17" s="2" t="s">
        <v>94</v>
      </c>
      <c r="M17" s="5">
        <v>4</v>
      </c>
      <c r="N17" s="5">
        <f t="shared" si="1"/>
        <v>4</v>
      </c>
      <c r="O17" s="4">
        <v>92.07</v>
      </c>
      <c r="P17" s="6">
        <v>0.15</v>
      </c>
      <c r="Q17" s="4">
        <v>313.04000000000002</v>
      </c>
      <c r="R17" s="4">
        <f t="shared" si="2"/>
        <v>313.04000000000002</v>
      </c>
      <c r="S17" s="4">
        <v>-36.159999999999997</v>
      </c>
      <c r="T17" s="2" t="s">
        <v>87</v>
      </c>
      <c r="U17" s="2" t="s">
        <v>30</v>
      </c>
    </row>
    <row r="18" spans="1:21" x14ac:dyDescent="0.3">
      <c r="A18" s="2" t="s">
        <v>126</v>
      </c>
      <c r="B18" s="12">
        <v>45594</v>
      </c>
      <c r="C18" s="3" t="s">
        <v>128</v>
      </c>
      <c r="D18" s="2" t="s">
        <v>120</v>
      </c>
      <c r="E18" s="2" t="s">
        <v>35</v>
      </c>
      <c r="F18" s="2" t="s">
        <v>23</v>
      </c>
      <c r="G18" t="str">
        <f t="shared" si="0"/>
        <v>South</v>
      </c>
      <c r="H18" s="2" t="s">
        <v>36</v>
      </c>
      <c r="I18" s="2" t="s">
        <v>54</v>
      </c>
      <c r="J18" s="2" t="s">
        <v>38</v>
      </c>
      <c r="K18" s="2" t="s">
        <v>60</v>
      </c>
      <c r="L18" s="2" t="s">
        <v>116</v>
      </c>
      <c r="M18" s="5">
        <v>2</v>
      </c>
      <c r="N18" s="5">
        <f t="shared" si="1"/>
        <v>2</v>
      </c>
      <c r="O18" s="4">
        <v>417.45</v>
      </c>
      <c r="P18" s="6">
        <v>0.05</v>
      </c>
      <c r="Q18" s="4">
        <v>793.15</v>
      </c>
      <c r="R18" s="4">
        <f t="shared" si="2"/>
        <v>793.15</v>
      </c>
      <c r="S18" s="4">
        <v>-82.09</v>
      </c>
      <c r="T18" s="2" t="s">
        <v>55</v>
      </c>
      <c r="U18" s="2" t="s">
        <v>72</v>
      </c>
    </row>
    <row r="19" spans="1:21" x14ac:dyDescent="0.3">
      <c r="A19" s="2" t="s">
        <v>129</v>
      </c>
      <c r="B19" s="12">
        <v>45326</v>
      </c>
      <c r="C19" s="3" t="s">
        <v>82</v>
      </c>
      <c r="D19" s="2" t="s">
        <v>120</v>
      </c>
      <c r="E19" s="2" t="s">
        <v>35</v>
      </c>
      <c r="F19" s="2" t="s">
        <v>67</v>
      </c>
      <c r="G19" t="str">
        <f t="shared" si="0"/>
        <v>East</v>
      </c>
      <c r="H19" s="2" t="s">
        <v>84</v>
      </c>
      <c r="I19" s="2" t="s">
        <v>131</v>
      </c>
      <c r="J19" s="2" t="s">
        <v>38</v>
      </c>
      <c r="K19" s="2" t="s">
        <v>60</v>
      </c>
      <c r="L19" s="2" t="s">
        <v>132</v>
      </c>
      <c r="M19" s="5">
        <v>5</v>
      </c>
      <c r="N19" s="5">
        <f t="shared" si="1"/>
        <v>5</v>
      </c>
      <c r="O19" s="4">
        <v>194.97</v>
      </c>
      <c r="P19" s="6">
        <v>0.3</v>
      </c>
      <c r="Q19" s="4">
        <v>682.39</v>
      </c>
      <c r="R19" s="4">
        <f t="shared" si="2"/>
        <v>682.39</v>
      </c>
      <c r="S19" s="4">
        <v>189.63</v>
      </c>
      <c r="T19" s="2" t="s">
        <v>55</v>
      </c>
      <c r="U19" s="2" t="s">
        <v>30</v>
      </c>
    </row>
    <row r="20" spans="1:21" x14ac:dyDescent="0.3">
      <c r="A20" s="2" t="s">
        <v>133</v>
      </c>
      <c r="B20" s="12">
        <v>45482</v>
      </c>
      <c r="C20" s="3" t="s">
        <v>135</v>
      </c>
      <c r="D20" s="2" t="s">
        <v>76</v>
      </c>
      <c r="E20" s="2" t="s">
        <v>35</v>
      </c>
      <c r="F20" s="2" t="s">
        <v>53</v>
      </c>
      <c r="G20" t="str">
        <f t="shared" si="0"/>
        <v>West</v>
      </c>
      <c r="H20" s="2" t="s">
        <v>24</v>
      </c>
      <c r="I20" s="2" t="s">
        <v>25</v>
      </c>
      <c r="J20" s="2" t="s">
        <v>26</v>
      </c>
      <c r="K20" s="2" t="s">
        <v>70</v>
      </c>
      <c r="L20" s="2" t="s">
        <v>71</v>
      </c>
      <c r="N20" s="5" t="str">
        <f t="shared" si="1"/>
        <v/>
      </c>
      <c r="O20" s="4">
        <v>33.270000000000003</v>
      </c>
      <c r="P20" s="6">
        <v>0.2</v>
      </c>
      <c r="Q20" s="4">
        <v>159.69999999999999</v>
      </c>
      <c r="R20" s="4">
        <f t="shared" si="2"/>
        <v>159.69999999999999</v>
      </c>
      <c r="S20" s="4">
        <v>6.28</v>
      </c>
      <c r="T20" s="2" t="s">
        <v>29</v>
      </c>
      <c r="U20" s="2" t="s">
        <v>30</v>
      </c>
    </row>
    <row r="21" spans="1:21" x14ac:dyDescent="0.3">
      <c r="A21" s="2" t="s">
        <v>137</v>
      </c>
      <c r="B21" s="12">
        <v>45167</v>
      </c>
      <c r="C21" s="3" t="s">
        <v>33</v>
      </c>
      <c r="D21" s="2" t="s">
        <v>66</v>
      </c>
      <c r="E21" s="2" t="s">
        <v>45</v>
      </c>
      <c r="F21" s="2" t="s">
        <v>67</v>
      </c>
      <c r="G21" t="str">
        <f t="shared" si="0"/>
        <v>East</v>
      </c>
      <c r="H21" s="2" t="s">
        <v>47</v>
      </c>
      <c r="I21" s="2" t="s">
        <v>121</v>
      </c>
      <c r="J21" s="2" t="s">
        <v>26</v>
      </c>
      <c r="K21" s="2" t="s">
        <v>27</v>
      </c>
      <c r="L21" s="2" t="s">
        <v>139</v>
      </c>
      <c r="M21" s="5">
        <v>4</v>
      </c>
      <c r="N21" s="5">
        <f t="shared" si="1"/>
        <v>4</v>
      </c>
      <c r="O21" s="4">
        <v>263.88</v>
      </c>
      <c r="P21" s="6">
        <v>0</v>
      </c>
      <c r="Q21" s="4">
        <v>1055.52</v>
      </c>
      <c r="R21" s="4">
        <f t="shared" si="2"/>
        <v>1055.52</v>
      </c>
      <c r="S21" s="4">
        <v>110.74</v>
      </c>
      <c r="T21" s="2" t="s">
        <v>41</v>
      </c>
      <c r="U21" s="2" t="s">
        <v>62</v>
      </c>
    </row>
    <row r="22" spans="1:21" x14ac:dyDescent="0.3">
      <c r="A22" s="2" t="s">
        <v>140</v>
      </c>
      <c r="B22" s="12">
        <v>45332</v>
      </c>
      <c r="C22" s="3" t="s">
        <v>142</v>
      </c>
      <c r="D22" s="2" t="s">
        <v>21</v>
      </c>
      <c r="E22" s="2" t="s">
        <v>22</v>
      </c>
      <c r="F22" s="2" t="s">
        <v>67</v>
      </c>
      <c r="G22" t="str">
        <f t="shared" si="0"/>
        <v>East</v>
      </c>
      <c r="H22" s="2" t="s">
        <v>68</v>
      </c>
      <c r="I22" s="2" t="s">
        <v>77</v>
      </c>
      <c r="J22" s="2" t="s">
        <v>78</v>
      </c>
      <c r="K22" s="2" t="s">
        <v>79</v>
      </c>
      <c r="L22" s="2" t="s">
        <v>143</v>
      </c>
      <c r="M22" s="5">
        <v>5</v>
      </c>
      <c r="N22" s="5">
        <f t="shared" si="1"/>
        <v>5</v>
      </c>
      <c r="O22" s="4">
        <v>210.09</v>
      </c>
      <c r="P22" s="6">
        <v>0</v>
      </c>
      <c r="Q22" s="4">
        <v>1050.45</v>
      </c>
      <c r="R22" s="4">
        <f t="shared" si="2"/>
        <v>1050.45</v>
      </c>
      <c r="S22" s="4">
        <v>-184.58</v>
      </c>
      <c r="T22" s="2" t="s">
        <v>41</v>
      </c>
      <c r="U22" s="2" t="s">
        <v>62</v>
      </c>
    </row>
    <row r="23" spans="1:21" x14ac:dyDescent="0.3">
      <c r="A23" s="2" t="s">
        <v>144</v>
      </c>
      <c r="B23" s="12">
        <v>44997</v>
      </c>
      <c r="C23" s="3" t="s">
        <v>146</v>
      </c>
      <c r="D23" s="2" t="s">
        <v>147</v>
      </c>
      <c r="E23" s="2" t="s">
        <v>22</v>
      </c>
      <c r="F23" s="2" t="s">
        <v>46</v>
      </c>
      <c r="G23" t="str">
        <f t="shared" si="0"/>
        <v>Central</v>
      </c>
      <c r="H23" s="2" t="s">
        <v>68</v>
      </c>
      <c r="I23" s="2" t="s">
        <v>69</v>
      </c>
      <c r="J23" s="2" t="s">
        <v>78</v>
      </c>
      <c r="K23" s="2" t="s">
        <v>79</v>
      </c>
      <c r="L23" s="2" t="s">
        <v>143</v>
      </c>
      <c r="M23" s="5">
        <v>5</v>
      </c>
      <c r="N23" s="5">
        <f t="shared" si="1"/>
        <v>5</v>
      </c>
      <c r="O23" s="4">
        <v>77.72</v>
      </c>
      <c r="P23" s="6">
        <v>0.2</v>
      </c>
      <c r="Q23" s="4">
        <v>310.88</v>
      </c>
      <c r="R23" s="4">
        <f t="shared" si="2"/>
        <v>310.88</v>
      </c>
      <c r="S23" s="4">
        <v>44.65</v>
      </c>
      <c r="T23" s="2" t="s">
        <v>29</v>
      </c>
      <c r="U23" s="2" t="s">
        <v>62</v>
      </c>
    </row>
    <row r="24" spans="1:21" x14ac:dyDescent="0.3">
      <c r="A24" s="2" t="s">
        <v>148</v>
      </c>
      <c r="B24" s="12">
        <v>45045</v>
      </c>
      <c r="C24" s="3" t="s">
        <v>150</v>
      </c>
      <c r="D24" s="2" t="s">
        <v>52</v>
      </c>
      <c r="E24" s="2" t="s">
        <v>22</v>
      </c>
      <c r="G24" t="s">
        <v>745</v>
      </c>
      <c r="H24" s="2" t="s">
        <v>24</v>
      </c>
      <c r="I24" s="2" t="s">
        <v>25</v>
      </c>
      <c r="J24" s="2" t="s">
        <v>78</v>
      </c>
      <c r="K24" s="2" t="s">
        <v>79</v>
      </c>
      <c r="L24" s="2" t="s">
        <v>143</v>
      </c>
      <c r="M24" s="5">
        <v>3</v>
      </c>
      <c r="N24" s="5">
        <f t="shared" si="1"/>
        <v>3</v>
      </c>
      <c r="O24" s="4">
        <v>128.38</v>
      </c>
      <c r="P24" s="6">
        <v>0.2</v>
      </c>
      <c r="Q24" s="4">
        <v>308.11</v>
      </c>
      <c r="R24" s="4">
        <f t="shared" si="2"/>
        <v>308.11</v>
      </c>
      <c r="S24" s="4">
        <v>-25.61</v>
      </c>
      <c r="T24" s="2" t="s">
        <v>87</v>
      </c>
      <c r="U24" s="2" t="s">
        <v>56</v>
      </c>
    </row>
    <row r="25" spans="1:21" x14ac:dyDescent="0.3">
      <c r="A25" s="2" t="s">
        <v>151</v>
      </c>
      <c r="B25" s="12">
        <v>45021</v>
      </c>
      <c r="C25" s="3" t="s">
        <v>153</v>
      </c>
      <c r="D25" s="2" t="s">
        <v>76</v>
      </c>
      <c r="E25" s="2" t="s">
        <v>22</v>
      </c>
      <c r="F25" s="2" t="s">
        <v>23</v>
      </c>
      <c r="G25" t="str">
        <f t="shared" si="0"/>
        <v>South</v>
      </c>
      <c r="H25" s="2" t="s">
        <v>108</v>
      </c>
      <c r="I25" s="2" t="s">
        <v>109</v>
      </c>
      <c r="J25" s="2" t="s">
        <v>38</v>
      </c>
      <c r="K25" s="2" t="s">
        <v>60</v>
      </c>
      <c r="L25" s="2" t="s">
        <v>61</v>
      </c>
      <c r="M25" s="5">
        <v>5</v>
      </c>
      <c r="N25" s="5">
        <f t="shared" si="1"/>
        <v>5</v>
      </c>
      <c r="O25" s="4">
        <v>27.49</v>
      </c>
      <c r="P25" s="6">
        <v>0.1</v>
      </c>
      <c r="Q25" s="4">
        <v>123.7</v>
      </c>
      <c r="R25" s="4">
        <f t="shared" si="2"/>
        <v>123.7</v>
      </c>
      <c r="S25" s="4">
        <v>21.61</v>
      </c>
      <c r="T25" s="2" t="s">
        <v>87</v>
      </c>
      <c r="U25" s="2" t="s">
        <v>30</v>
      </c>
    </row>
    <row r="26" spans="1:21" x14ac:dyDescent="0.3">
      <c r="A26" s="2" t="s">
        <v>154</v>
      </c>
      <c r="B26" s="12">
        <v>45004</v>
      </c>
      <c r="C26" s="3" t="s">
        <v>156</v>
      </c>
      <c r="D26" s="2" t="s">
        <v>76</v>
      </c>
      <c r="E26" s="2" t="s">
        <v>35</v>
      </c>
      <c r="F26" s="2" t="s">
        <v>46</v>
      </c>
      <c r="G26" t="str">
        <f t="shared" si="0"/>
        <v>Central</v>
      </c>
      <c r="H26" s="2" t="s">
        <v>108</v>
      </c>
      <c r="I26" s="2" t="s">
        <v>157</v>
      </c>
      <c r="J26" s="2" t="s">
        <v>38</v>
      </c>
      <c r="K26" s="2" t="s">
        <v>60</v>
      </c>
      <c r="L26" s="2" t="s">
        <v>132</v>
      </c>
      <c r="M26" s="5">
        <v>1</v>
      </c>
      <c r="N26" s="5">
        <f t="shared" si="1"/>
        <v>1</v>
      </c>
      <c r="O26" s="4">
        <v>376.89</v>
      </c>
      <c r="P26" s="6">
        <v>0.2</v>
      </c>
      <c r="Q26" s="4">
        <v>301.51</v>
      </c>
      <c r="R26" s="4">
        <f t="shared" si="2"/>
        <v>301.51</v>
      </c>
      <c r="S26" s="4">
        <v>22.36</v>
      </c>
      <c r="T26" s="2" t="s">
        <v>29</v>
      </c>
      <c r="U26" s="2" t="s">
        <v>56</v>
      </c>
    </row>
    <row r="27" spans="1:21" x14ac:dyDescent="0.3">
      <c r="A27" s="2" t="s">
        <v>158</v>
      </c>
      <c r="B27" s="12">
        <v>45625</v>
      </c>
      <c r="C27" s="3" t="s">
        <v>160</v>
      </c>
      <c r="D27" s="2" t="s">
        <v>76</v>
      </c>
      <c r="E27" s="2" t="s">
        <v>35</v>
      </c>
      <c r="F27" s="2" t="s">
        <v>67</v>
      </c>
      <c r="G27" t="str">
        <f t="shared" si="0"/>
        <v>East</v>
      </c>
      <c r="H27" s="2" t="s">
        <v>68</v>
      </c>
      <c r="I27" s="2" t="s">
        <v>77</v>
      </c>
      <c r="J27" s="2" t="s">
        <v>38</v>
      </c>
      <c r="K27" s="2" t="s">
        <v>39</v>
      </c>
      <c r="L27" s="2" t="s">
        <v>98</v>
      </c>
      <c r="M27" s="5">
        <v>2</v>
      </c>
      <c r="N27" s="5">
        <f t="shared" si="1"/>
        <v>2</v>
      </c>
      <c r="O27" s="4">
        <v>164.33</v>
      </c>
      <c r="P27" s="6">
        <v>0.2</v>
      </c>
      <c r="Q27" s="4">
        <v>262.93</v>
      </c>
      <c r="R27" s="4">
        <f t="shared" si="2"/>
        <v>262.93</v>
      </c>
      <c r="S27" s="4">
        <v>59.61</v>
      </c>
      <c r="T27" s="2" t="s">
        <v>87</v>
      </c>
      <c r="U27" s="2" t="s">
        <v>30</v>
      </c>
    </row>
    <row r="28" spans="1:21" x14ac:dyDescent="0.3">
      <c r="A28" s="2" t="s">
        <v>161</v>
      </c>
      <c r="B28" s="12">
        <v>45267</v>
      </c>
      <c r="C28" s="3" t="s">
        <v>163</v>
      </c>
      <c r="D28" s="2" t="s">
        <v>120</v>
      </c>
      <c r="E28" s="2" t="s">
        <v>35</v>
      </c>
      <c r="F28" s="2" t="s">
        <v>67</v>
      </c>
      <c r="G28" t="str">
        <f t="shared" si="0"/>
        <v>East</v>
      </c>
      <c r="H28" s="2" t="s">
        <v>47</v>
      </c>
      <c r="I28" s="2" t="s">
        <v>164</v>
      </c>
      <c r="J28" s="2" t="s">
        <v>38</v>
      </c>
      <c r="K28" s="2" t="s">
        <v>39</v>
      </c>
      <c r="L28" s="2" t="s">
        <v>165</v>
      </c>
      <c r="M28" s="5">
        <v>4</v>
      </c>
      <c r="N28" s="5">
        <f t="shared" si="1"/>
        <v>4</v>
      </c>
      <c r="O28" s="4">
        <v>125.93</v>
      </c>
      <c r="P28" s="6">
        <v>0.3</v>
      </c>
      <c r="Q28" s="4">
        <v>352.6</v>
      </c>
      <c r="R28" s="4">
        <f t="shared" si="2"/>
        <v>352.6</v>
      </c>
      <c r="S28" s="4">
        <v>-45.94</v>
      </c>
      <c r="T28" s="2" t="s">
        <v>41</v>
      </c>
      <c r="U28" s="2" t="s">
        <v>56</v>
      </c>
    </row>
    <row r="29" spans="1:21" x14ac:dyDescent="0.3">
      <c r="A29" s="2" t="s">
        <v>166</v>
      </c>
      <c r="B29" s="12">
        <v>45155</v>
      </c>
      <c r="C29" s="3" t="s">
        <v>168</v>
      </c>
      <c r="D29" s="2" t="s">
        <v>66</v>
      </c>
      <c r="E29" s="2" t="s">
        <v>22</v>
      </c>
      <c r="F29" s="2" t="s">
        <v>23</v>
      </c>
      <c r="G29" t="str">
        <f t="shared" si="0"/>
        <v>South</v>
      </c>
      <c r="H29" s="2" t="s">
        <v>24</v>
      </c>
      <c r="I29" s="2" t="s">
        <v>25</v>
      </c>
      <c r="J29" s="2" t="s">
        <v>38</v>
      </c>
      <c r="K29" s="2" t="s">
        <v>39</v>
      </c>
      <c r="L29" s="2" t="s">
        <v>40</v>
      </c>
      <c r="M29" s="5">
        <v>4</v>
      </c>
      <c r="N29" s="5">
        <f t="shared" si="1"/>
        <v>4</v>
      </c>
      <c r="O29" s="4">
        <v>184.12</v>
      </c>
      <c r="P29" s="6">
        <v>0.1</v>
      </c>
      <c r="Q29" s="4">
        <v>662.83</v>
      </c>
      <c r="R29" s="4">
        <f t="shared" si="2"/>
        <v>662.83</v>
      </c>
      <c r="S29" s="4">
        <v>144.22999999999999</v>
      </c>
      <c r="T29" s="2" t="s">
        <v>41</v>
      </c>
      <c r="U29" s="2" t="s">
        <v>30</v>
      </c>
    </row>
    <row r="30" spans="1:21" x14ac:dyDescent="0.3">
      <c r="A30" s="2" t="s">
        <v>169</v>
      </c>
      <c r="B30" s="12">
        <v>45194</v>
      </c>
      <c r="C30" s="3" t="s">
        <v>171</v>
      </c>
      <c r="D30" s="2" t="s">
        <v>34</v>
      </c>
      <c r="E30" s="2" t="s">
        <v>22</v>
      </c>
      <c r="F30" s="2" t="s">
        <v>53</v>
      </c>
      <c r="G30" t="str">
        <f t="shared" si="0"/>
        <v>West</v>
      </c>
      <c r="H30" s="2" t="s">
        <v>68</v>
      </c>
      <c r="I30" s="2" t="s">
        <v>77</v>
      </c>
      <c r="J30" s="2" t="s">
        <v>38</v>
      </c>
      <c r="K30" s="2" t="s">
        <v>60</v>
      </c>
      <c r="L30" s="2" t="s">
        <v>132</v>
      </c>
      <c r="M30" s="5">
        <v>5</v>
      </c>
      <c r="N30" s="5">
        <f t="shared" si="1"/>
        <v>5</v>
      </c>
      <c r="O30" s="4">
        <v>24.91</v>
      </c>
      <c r="P30" s="6">
        <v>0.2</v>
      </c>
      <c r="Q30" s="4">
        <v>99.64</v>
      </c>
      <c r="R30" s="4">
        <f t="shared" si="2"/>
        <v>99.64</v>
      </c>
      <c r="S30" s="4">
        <v>1.98</v>
      </c>
      <c r="T30" s="2" t="s">
        <v>55</v>
      </c>
      <c r="U30" s="2" t="s">
        <v>56</v>
      </c>
    </row>
    <row r="31" spans="1:21" x14ac:dyDescent="0.3">
      <c r="A31" s="2" t="s">
        <v>172</v>
      </c>
      <c r="B31" s="12">
        <v>45652</v>
      </c>
      <c r="C31" s="3" t="s">
        <v>174</v>
      </c>
      <c r="D31" s="2" t="s">
        <v>66</v>
      </c>
      <c r="E31" s="2" t="s">
        <v>22</v>
      </c>
      <c r="F31" s="2" t="s">
        <v>53</v>
      </c>
      <c r="G31" t="str">
        <f t="shared" si="0"/>
        <v>West</v>
      </c>
      <c r="H31" s="2" t="s">
        <v>47</v>
      </c>
      <c r="I31" s="2" t="s">
        <v>121</v>
      </c>
      <c r="J31" s="2" t="s">
        <v>38</v>
      </c>
      <c r="K31" s="2" t="s">
        <v>60</v>
      </c>
      <c r="L31" s="2" t="s">
        <v>61</v>
      </c>
      <c r="M31" s="5">
        <v>4</v>
      </c>
      <c r="N31" s="5">
        <f t="shared" si="1"/>
        <v>4</v>
      </c>
      <c r="P31" s="6">
        <v>0</v>
      </c>
      <c r="Q31" s="4">
        <v>675.96</v>
      </c>
      <c r="R31" s="4">
        <f t="shared" si="2"/>
        <v>675.96</v>
      </c>
      <c r="S31" s="4">
        <v>173.37</v>
      </c>
      <c r="T31" s="2" t="s">
        <v>41</v>
      </c>
      <c r="U31" s="2" t="s">
        <v>56</v>
      </c>
    </row>
    <row r="32" spans="1:21" x14ac:dyDescent="0.3">
      <c r="A32" s="2" t="s">
        <v>176</v>
      </c>
      <c r="B32" s="12">
        <v>45345</v>
      </c>
      <c r="C32" s="3" t="s">
        <v>178</v>
      </c>
      <c r="D32" s="2" t="s">
        <v>76</v>
      </c>
      <c r="E32" s="2" t="s">
        <v>22</v>
      </c>
      <c r="F32" s="2" t="s">
        <v>46</v>
      </c>
      <c r="G32" t="str">
        <f t="shared" si="0"/>
        <v>Central</v>
      </c>
      <c r="H32" s="2" t="s">
        <v>84</v>
      </c>
      <c r="I32" s="2" t="s">
        <v>131</v>
      </c>
      <c r="J32" s="2" t="s">
        <v>26</v>
      </c>
      <c r="K32" s="2" t="s">
        <v>27</v>
      </c>
      <c r="L32" s="2" t="s">
        <v>179</v>
      </c>
      <c r="M32" s="5">
        <v>5</v>
      </c>
      <c r="N32" s="5">
        <f t="shared" si="1"/>
        <v>5</v>
      </c>
      <c r="O32" s="4">
        <v>253.05</v>
      </c>
      <c r="P32" s="6">
        <v>0.05</v>
      </c>
      <c r="Q32" s="4">
        <v>1201.99</v>
      </c>
      <c r="R32" s="4">
        <f t="shared" si="2"/>
        <v>1201.99</v>
      </c>
      <c r="S32" s="4">
        <v>16.11</v>
      </c>
      <c r="T32" s="2" t="s">
        <v>29</v>
      </c>
      <c r="U32" s="2" t="s">
        <v>56</v>
      </c>
    </row>
    <row r="33" spans="1:21" x14ac:dyDescent="0.3">
      <c r="A33" s="2" t="s">
        <v>180</v>
      </c>
      <c r="B33" s="12">
        <v>45142</v>
      </c>
      <c r="C33" s="3" t="s">
        <v>182</v>
      </c>
      <c r="D33" s="2" t="s">
        <v>120</v>
      </c>
      <c r="E33" s="2" t="s">
        <v>22</v>
      </c>
      <c r="F33" s="2" t="s">
        <v>67</v>
      </c>
      <c r="G33" t="str">
        <f t="shared" si="0"/>
        <v>East</v>
      </c>
      <c r="H33" s="2" t="s">
        <v>47</v>
      </c>
      <c r="I33" s="2" t="s">
        <v>164</v>
      </c>
      <c r="J33" s="2" t="s">
        <v>78</v>
      </c>
      <c r="K33" s="2" t="s">
        <v>79</v>
      </c>
      <c r="L33" s="2" t="s">
        <v>143</v>
      </c>
      <c r="M33" s="5">
        <v>6</v>
      </c>
      <c r="N33" s="5">
        <f t="shared" si="1"/>
        <v>6</v>
      </c>
      <c r="O33" s="4">
        <v>213.52</v>
      </c>
      <c r="P33" s="6">
        <v>0.15</v>
      </c>
      <c r="Q33" s="4">
        <v>1088.95</v>
      </c>
      <c r="R33" s="4">
        <f t="shared" si="2"/>
        <v>1088.95</v>
      </c>
      <c r="S33" s="4">
        <v>142.41999999999999</v>
      </c>
      <c r="T33" s="2" t="s">
        <v>29</v>
      </c>
      <c r="U33" s="2" t="s">
        <v>56</v>
      </c>
    </row>
    <row r="34" spans="1:21" x14ac:dyDescent="0.3">
      <c r="A34" s="2" t="s">
        <v>183</v>
      </c>
      <c r="B34" s="12">
        <v>45606</v>
      </c>
      <c r="C34" s="3" t="s">
        <v>185</v>
      </c>
      <c r="D34" s="2" t="s">
        <v>52</v>
      </c>
      <c r="E34" s="2" t="s">
        <v>35</v>
      </c>
      <c r="F34" s="2" t="s">
        <v>53</v>
      </c>
      <c r="G34" t="str">
        <f t="shared" si="0"/>
        <v>West</v>
      </c>
      <c r="H34" s="2" t="s">
        <v>108</v>
      </c>
      <c r="I34" s="2" t="s">
        <v>115</v>
      </c>
      <c r="J34" s="2" t="s">
        <v>26</v>
      </c>
      <c r="K34" s="2" t="s">
        <v>70</v>
      </c>
      <c r="L34" s="2" t="s">
        <v>71</v>
      </c>
      <c r="M34" s="5">
        <v>6</v>
      </c>
      <c r="N34" s="5">
        <f t="shared" si="1"/>
        <v>6</v>
      </c>
      <c r="O34" s="4">
        <v>49.28</v>
      </c>
      <c r="P34" s="6">
        <v>0.05</v>
      </c>
      <c r="Q34" s="4">
        <v>280.89999999999998</v>
      </c>
      <c r="R34" s="4">
        <f t="shared" si="2"/>
        <v>280.89999999999998</v>
      </c>
      <c r="S34" s="4">
        <v>36.369999999999997</v>
      </c>
      <c r="T34" s="2" t="s">
        <v>55</v>
      </c>
      <c r="U34" s="2" t="s">
        <v>72</v>
      </c>
    </row>
    <row r="35" spans="1:21" x14ac:dyDescent="0.3">
      <c r="A35" s="2" t="s">
        <v>186</v>
      </c>
      <c r="B35" s="12">
        <v>45001</v>
      </c>
      <c r="C35" s="3" t="s">
        <v>187</v>
      </c>
      <c r="D35" s="2" t="s">
        <v>76</v>
      </c>
      <c r="E35" s="2" t="s">
        <v>22</v>
      </c>
      <c r="F35" s="2" t="s">
        <v>53</v>
      </c>
      <c r="G35" t="str">
        <f t="shared" si="0"/>
        <v>West</v>
      </c>
      <c r="H35" s="2" t="s">
        <v>47</v>
      </c>
      <c r="I35" s="2" t="s">
        <v>48</v>
      </c>
      <c r="J35" s="2" t="s">
        <v>26</v>
      </c>
      <c r="K35" s="2" t="s">
        <v>70</v>
      </c>
      <c r="L35" s="2" t="s">
        <v>71</v>
      </c>
      <c r="M35" s="5">
        <v>4</v>
      </c>
      <c r="N35" s="5">
        <f t="shared" si="1"/>
        <v>4</v>
      </c>
      <c r="O35" s="4">
        <v>325.51</v>
      </c>
      <c r="P35" s="6">
        <v>0.15</v>
      </c>
      <c r="Q35" s="4">
        <v>1106.73</v>
      </c>
      <c r="R35" s="4">
        <f t="shared" si="2"/>
        <v>1106.73</v>
      </c>
      <c r="S35" s="4">
        <v>52.47</v>
      </c>
      <c r="T35" s="2" t="s">
        <v>87</v>
      </c>
      <c r="U35" s="2" t="s">
        <v>62</v>
      </c>
    </row>
    <row r="36" spans="1:21" x14ac:dyDescent="0.3">
      <c r="A36" s="2" t="s">
        <v>188</v>
      </c>
      <c r="B36" s="12">
        <v>45639</v>
      </c>
      <c r="C36" s="3" t="s">
        <v>190</v>
      </c>
      <c r="D36" s="2" t="s">
        <v>66</v>
      </c>
      <c r="E36" s="2" t="s">
        <v>45</v>
      </c>
      <c r="F36" s="2" t="s">
        <v>23</v>
      </c>
      <c r="G36" t="str">
        <f t="shared" si="0"/>
        <v>South</v>
      </c>
      <c r="H36" s="2" t="s">
        <v>36</v>
      </c>
      <c r="I36" s="2" t="s">
        <v>92</v>
      </c>
      <c r="J36" s="2" t="s">
        <v>38</v>
      </c>
      <c r="K36" s="2" t="s">
        <v>39</v>
      </c>
      <c r="L36" s="2" t="s">
        <v>40</v>
      </c>
      <c r="M36" s="5">
        <v>1</v>
      </c>
      <c r="N36" s="5">
        <f t="shared" si="1"/>
        <v>1</v>
      </c>
      <c r="O36" s="4">
        <v>254.37</v>
      </c>
      <c r="P36" s="6">
        <v>0</v>
      </c>
      <c r="Q36" s="4">
        <v>254.37</v>
      </c>
      <c r="R36" s="4">
        <f t="shared" si="2"/>
        <v>254.37</v>
      </c>
      <c r="S36" s="4">
        <v>7.62</v>
      </c>
      <c r="T36" s="2" t="s">
        <v>87</v>
      </c>
      <c r="U36" s="2" t="s">
        <v>62</v>
      </c>
    </row>
    <row r="37" spans="1:21" x14ac:dyDescent="0.3">
      <c r="A37" s="2" t="s">
        <v>191</v>
      </c>
      <c r="B37" s="12">
        <v>45413</v>
      </c>
      <c r="C37" s="3" t="s">
        <v>193</v>
      </c>
      <c r="D37" s="2" t="s">
        <v>120</v>
      </c>
      <c r="E37" s="2" t="s">
        <v>22</v>
      </c>
      <c r="F37" s="2" t="s">
        <v>67</v>
      </c>
      <c r="G37" t="str">
        <f t="shared" si="0"/>
        <v>East</v>
      </c>
      <c r="H37" s="2" t="s">
        <v>47</v>
      </c>
      <c r="I37" s="2" t="s">
        <v>48</v>
      </c>
      <c r="J37" s="2" t="s">
        <v>26</v>
      </c>
      <c r="K37" s="2" t="s">
        <v>27</v>
      </c>
      <c r="L37" s="2" t="s">
        <v>179</v>
      </c>
      <c r="M37" s="5">
        <v>4</v>
      </c>
      <c r="N37" s="5">
        <f t="shared" si="1"/>
        <v>4</v>
      </c>
      <c r="O37" s="4">
        <v>379.22</v>
      </c>
      <c r="P37" s="6">
        <v>0.1</v>
      </c>
      <c r="Q37" s="4">
        <v>1365.19</v>
      </c>
      <c r="R37" s="4">
        <f t="shared" si="2"/>
        <v>1365.19</v>
      </c>
      <c r="S37" s="4">
        <v>235.19</v>
      </c>
      <c r="T37" s="2" t="s">
        <v>87</v>
      </c>
      <c r="U37" s="2" t="s">
        <v>30</v>
      </c>
    </row>
    <row r="38" spans="1:21" x14ac:dyDescent="0.3">
      <c r="A38" s="2" t="s">
        <v>194</v>
      </c>
      <c r="B38" s="12">
        <v>45219</v>
      </c>
      <c r="C38" s="3" t="s">
        <v>196</v>
      </c>
      <c r="D38" s="2" t="s">
        <v>52</v>
      </c>
      <c r="E38" s="2" t="s">
        <v>45</v>
      </c>
      <c r="F38" s="2" t="s">
        <v>67</v>
      </c>
      <c r="G38" t="str">
        <f t="shared" si="0"/>
        <v>East</v>
      </c>
      <c r="H38" s="2" t="s">
        <v>68</v>
      </c>
      <c r="I38" s="2" t="s">
        <v>69</v>
      </c>
      <c r="J38" s="2" t="s">
        <v>26</v>
      </c>
      <c r="K38" s="2" t="s">
        <v>27</v>
      </c>
      <c r="L38" s="2" t="s">
        <v>139</v>
      </c>
      <c r="M38" s="5">
        <v>6</v>
      </c>
      <c r="N38" s="5">
        <f t="shared" si="1"/>
        <v>6</v>
      </c>
      <c r="O38" s="4">
        <v>149.31</v>
      </c>
      <c r="P38" s="6">
        <v>0.2</v>
      </c>
      <c r="Q38" s="4">
        <v>716.69</v>
      </c>
      <c r="R38" s="4">
        <f t="shared" si="2"/>
        <v>716.69</v>
      </c>
      <c r="S38" s="4">
        <v>-102.44</v>
      </c>
      <c r="T38" s="2" t="s">
        <v>55</v>
      </c>
      <c r="U38" s="2" t="s">
        <v>30</v>
      </c>
    </row>
    <row r="39" spans="1:21" x14ac:dyDescent="0.3">
      <c r="A39" s="2" t="s">
        <v>198</v>
      </c>
      <c r="B39" s="12">
        <v>45344</v>
      </c>
      <c r="C39" s="3" t="s">
        <v>200</v>
      </c>
      <c r="D39" s="2" t="s">
        <v>147</v>
      </c>
      <c r="E39" s="2" t="s">
        <v>22</v>
      </c>
      <c r="F39" s="2" t="s">
        <v>23</v>
      </c>
      <c r="G39" t="str">
        <f t="shared" si="0"/>
        <v>South</v>
      </c>
      <c r="H39" s="2" t="s">
        <v>84</v>
      </c>
      <c r="I39" s="2" t="s">
        <v>201</v>
      </c>
      <c r="J39" s="2" t="s">
        <v>78</v>
      </c>
      <c r="K39" s="2" t="s">
        <v>93</v>
      </c>
      <c r="L39" s="2" t="s">
        <v>202</v>
      </c>
      <c r="M39" s="5">
        <v>8</v>
      </c>
      <c r="N39" s="5">
        <f t="shared" si="1"/>
        <v>8</v>
      </c>
      <c r="O39" s="4">
        <v>191.77</v>
      </c>
      <c r="P39" s="6">
        <v>0.05</v>
      </c>
      <c r="Q39" s="4">
        <v>1457.45</v>
      </c>
      <c r="R39" s="4">
        <f t="shared" si="2"/>
        <v>1457.45</v>
      </c>
      <c r="S39" s="4">
        <v>296.05</v>
      </c>
      <c r="T39" s="2" t="s">
        <v>29</v>
      </c>
      <c r="U39" s="2" t="s">
        <v>56</v>
      </c>
    </row>
    <row r="40" spans="1:21" x14ac:dyDescent="0.3">
      <c r="A40" s="2" t="s">
        <v>203</v>
      </c>
      <c r="B40" s="12">
        <v>45326</v>
      </c>
      <c r="C40" s="3" t="s">
        <v>204</v>
      </c>
      <c r="D40" s="2" t="s">
        <v>34</v>
      </c>
      <c r="E40" s="2" t="s">
        <v>45</v>
      </c>
      <c r="F40" s="2" t="s">
        <v>23</v>
      </c>
      <c r="G40" t="str">
        <f t="shared" si="0"/>
        <v>South</v>
      </c>
      <c r="H40" s="2" t="s">
        <v>47</v>
      </c>
      <c r="I40" s="2" t="s">
        <v>164</v>
      </c>
      <c r="J40" s="2" t="s">
        <v>78</v>
      </c>
      <c r="K40" s="2" t="s">
        <v>79</v>
      </c>
      <c r="L40" s="2" t="s">
        <v>143</v>
      </c>
      <c r="M40" s="5">
        <v>4</v>
      </c>
      <c r="N40" s="5">
        <f t="shared" si="1"/>
        <v>4</v>
      </c>
      <c r="O40" s="4">
        <v>223.8</v>
      </c>
      <c r="P40" s="6">
        <v>0.1</v>
      </c>
      <c r="Q40" s="4">
        <v>805.68</v>
      </c>
      <c r="R40" s="4">
        <f t="shared" si="2"/>
        <v>805.68</v>
      </c>
      <c r="S40" s="4">
        <v>16.5</v>
      </c>
      <c r="T40" s="2" t="s">
        <v>55</v>
      </c>
      <c r="U40" s="2" t="s">
        <v>72</v>
      </c>
    </row>
    <row r="41" spans="1:21" x14ac:dyDescent="0.3">
      <c r="A41" s="2" t="s">
        <v>205</v>
      </c>
      <c r="B41" s="12">
        <v>45564</v>
      </c>
      <c r="C41" s="3" t="s">
        <v>207</v>
      </c>
      <c r="D41" s="2" t="s">
        <v>76</v>
      </c>
      <c r="E41" s="2" t="s">
        <v>45</v>
      </c>
      <c r="F41" s="2" t="s">
        <v>67</v>
      </c>
      <c r="G41" t="str">
        <f t="shared" si="0"/>
        <v>East</v>
      </c>
      <c r="H41" s="2" t="s">
        <v>36</v>
      </c>
      <c r="I41" s="2" t="s">
        <v>54</v>
      </c>
      <c r="J41" s="2" t="s">
        <v>38</v>
      </c>
      <c r="K41" s="2" t="s">
        <v>39</v>
      </c>
      <c r="L41" s="2" t="s">
        <v>98</v>
      </c>
      <c r="M41" s="5">
        <v>7</v>
      </c>
      <c r="N41" s="5">
        <f t="shared" si="1"/>
        <v>7</v>
      </c>
      <c r="O41" s="4">
        <v>269.62</v>
      </c>
      <c r="P41" s="6">
        <v>0.3</v>
      </c>
      <c r="Q41" s="4">
        <v>1321.14</v>
      </c>
      <c r="R41" s="4">
        <f t="shared" si="2"/>
        <v>1321.14</v>
      </c>
      <c r="S41" s="4">
        <v>-221.33</v>
      </c>
      <c r="T41" s="2" t="s">
        <v>41</v>
      </c>
      <c r="U41" s="2" t="s">
        <v>72</v>
      </c>
    </row>
    <row r="42" spans="1:21" x14ac:dyDescent="0.3">
      <c r="A42" s="2" t="s">
        <v>208</v>
      </c>
      <c r="B42" s="12">
        <v>45143</v>
      </c>
      <c r="C42" s="3" t="s">
        <v>210</v>
      </c>
      <c r="D42" s="2" t="s">
        <v>91</v>
      </c>
      <c r="E42" s="2" t="s">
        <v>35</v>
      </c>
      <c r="F42" s="2" t="s">
        <v>23</v>
      </c>
      <c r="G42" t="str">
        <f t="shared" si="0"/>
        <v>South</v>
      </c>
      <c r="H42" s="2" t="s">
        <v>47</v>
      </c>
      <c r="I42" s="2" t="s">
        <v>48</v>
      </c>
      <c r="J42" s="2" t="s">
        <v>78</v>
      </c>
      <c r="K42" s="2" t="s">
        <v>79</v>
      </c>
      <c r="L42" s="2" t="s">
        <v>80</v>
      </c>
      <c r="M42" s="5">
        <v>6</v>
      </c>
      <c r="N42" s="5">
        <f t="shared" si="1"/>
        <v>6</v>
      </c>
      <c r="O42" s="4">
        <v>344.46</v>
      </c>
      <c r="P42" s="6">
        <v>0.15</v>
      </c>
      <c r="Q42" s="4">
        <v>1756.75</v>
      </c>
      <c r="R42" s="4">
        <f t="shared" si="2"/>
        <v>1756.75</v>
      </c>
      <c r="S42" s="4">
        <v>-91.35</v>
      </c>
      <c r="T42" s="2" t="s">
        <v>29</v>
      </c>
      <c r="U42" s="2" t="s">
        <v>56</v>
      </c>
    </row>
    <row r="43" spans="1:21" x14ac:dyDescent="0.3">
      <c r="A43" s="2" t="s">
        <v>211</v>
      </c>
      <c r="B43" s="12">
        <v>45592</v>
      </c>
      <c r="D43" s="2" t="s">
        <v>76</v>
      </c>
      <c r="E43" s="2" t="s">
        <v>35</v>
      </c>
      <c r="F43" s="2" t="s">
        <v>67</v>
      </c>
      <c r="G43" t="str">
        <f t="shared" si="0"/>
        <v>East</v>
      </c>
      <c r="H43" s="2" t="s">
        <v>24</v>
      </c>
      <c r="I43" s="2" t="s">
        <v>25</v>
      </c>
      <c r="J43" s="2" t="s">
        <v>38</v>
      </c>
      <c r="K43" s="2" t="s">
        <v>39</v>
      </c>
      <c r="L43" s="2" t="s">
        <v>165</v>
      </c>
      <c r="M43" s="5">
        <v>1</v>
      </c>
      <c r="N43" s="5">
        <f t="shared" si="1"/>
        <v>1</v>
      </c>
      <c r="O43" s="4">
        <v>341.37</v>
      </c>
      <c r="P43" s="6">
        <v>0.05</v>
      </c>
      <c r="Q43" s="4">
        <v>324.3</v>
      </c>
      <c r="R43" s="4">
        <f t="shared" si="2"/>
        <v>324.3</v>
      </c>
      <c r="S43" s="4">
        <v>-28.63</v>
      </c>
      <c r="T43" s="2" t="s">
        <v>29</v>
      </c>
      <c r="U43" s="2" t="s">
        <v>62</v>
      </c>
    </row>
    <row r="44" spans="1:21" x14ac:dyDescent="0.3">
      <c r="A44" s="2" t="s">
        <v>213</v>
      </c>
      <c r="B44" s="12">
        <v>45643</v>
      </c>
      <c r="C44" s="3" t="s">
        <v>215</v>
      </c>
      <c r="D44" s="2" t="s">
        <v>91</v>
      </c>
      <c r="E44" s="2" t="s">
        <v>35</v>
      </c>
      <c r="F44" s="2" t="s">
        <v>53</v>
      </c>
      <c r="G44" t="str">
        <f t="shared" si="0"/>
        <v>West</v>
      </c>
      <c r="H44" s="2" t="s">
        <v>84</v>
      </c>
      <c r="I44" s="2" t="s">
        <v>131</v>
      </c>
      <c r="J44" s="2" t="s">
        <v>78</v>
      </c>
      <c r="K44" s="2" t="s">
        <v>93</v>
      </c>
      <c r="L44" s="2" t="s">
        <v>202</v>
      </c>
      <c r="M44" s="5">
        <v>3</v>
      </c>
      <c r="N44" s="5">
        <f t="shared" si="1"/>
        <v>3</v>
      </c>
      <c r="O44" s="4">
        <v>275.8</v>
      </c>
      <c r="P44" s="6">
        <v>0.3</v>
      </c>
      <c r="Q44" s="4">
        <v>579.17999999999995</v>
      </c>
      <c r="R44" s="4">
        <f t="shared" si="2"/>
        <v>579.17999999999995</v>
      </c>
      <c r="S44" s="4">
        <v>87.13</v>
      </c>
      <c r="T44" s="2" t="s">
        <v>87</v>
      </c>
      <c r="U44" s="2" t="s">
        <v>72</v>
      </c>
    </row>
    <row r="45" spans="1:21" x14ac:dyDescent="0.3">
      <c r="A45" s="2" t="s">
        <v>216</v>
      </c>
      <c r="B45" s="12">
        <v>45130</v>
      </c>
      <c r="C45" s="3" t="s">
        <v>218</v>
      </c>
      <c r="D45" s="2" t="s">
        <v>147</v>
      </c>
      <c r="E45" s="2" t="s">
        <v>45</v>
      </c>
      <c r="F45" s="2" t="s">
        <v>23</v>
      </c>
      <c r="G45" t="str">
        <f t="shared" si="0"/>
        <v>South</v>
      </c>
      <c r="H45" s="2" t="s">
        <v>24</v>
      </c>
      <c r="I45" s="2" t="s">
        <v>25</v>
      </c>
      <c r="J45" s="2" t="s">
        <v>26</v>
      </c>
      <c r="K45" s="2" t="s">
        <v>27</v>
      </c>
      <c r="L45" s="2" t="s">
        <v>139</v>
      </c>
      <c r="M45" s="5">
        <v>4</v>
      </c>
      <c r="N45" s="5">
        <f t="shared" si="1"/>
        <v>4</v>
      </c>
      <c r="O45" s="4">
        <v>53.04</v>
      </c>
      <c r="P45" s="6">
        <v>0.1</v>
      </c>
      <c r="Q45" s="4">
        <v>190.94</v>
      </c>
      <c r="R45" s="4">
        <f t="shared" si="2"/>
        <v>190.94</v>
      </c>
      <c r="S45" s="4">
        <v>40.31</v>
      </c>
      <c r="T45" s="2" t="s">
        <v>41</v>
      </c>
      <c r="U45" s="2" t="s">
        <v>30</v>
      </c>
    </row>
    <row r="46" spans="1:21" x14ac:dyDescent="0.3">
      <c r="A46" s="2" t="s">
        <v>219</v>
      </c>
      <c r="B46" s="12">
        <v>45590</v>
      </c>
      <c r="C46" s="3" t="s">
        <v>221</v>
      </c>
      <c r="D46" s="2" t="s">
        <v>120</v>
      </c>
      <c r="E46" s="2" t="s">
        <v>22</v>
      </c>
      <c r="F46" s="2" t="s">
        <v>67</v>
      </c>
      <c r="G46" t="str">
        <f t="shared" si="0"/>
        <v>East</v>
      </c>
      <c r="H46" s="2" t="s">
        <v>84</v>
      </c>
      <c r="I46" s="2" t="s">
        <v>85</v>
      </c>
      <c r="J46" s="2" t="s">
        <v>26</v>
      </c>
      <c r="K46" s="2" t="s">
        <v>70</v>
      </c>
      <c r="L46" s="2" t="s">
        <v>222</v>
      </c>
      <c r="M46" s="5">
        <v>7</v>
      </c>
      <c r="N46" s="5">
        <f t="shared" si="1"/>
        <v>7</v>
      </c>
      <c r="O46" s="4">
        <v>371.47</v>
      </c>
      <c r="P46" s="6">
        <v>0</v>
      </c>
      <c r="Q46" s="4">
        <v>2600.29</v>
      </c>
      <c r="R46" s="4">
        <f t="shared" si="2"/>
        <v>2600.29</v>
      </c>
      <c r="S46" s="4">
        <v>50.5</v>
      </c>
      <c r="T46" s="2" t="s">
        <v>55</v>
      </c>
      <c r="U46" s="2" t="s">
        <v>56</v>
      </c>
    </row>
    <row r="47" spans="1:21" x14ac:dyDescent="0.3">
      <c r="A47" s="2" t="s">
        <v>223</v>
      </c>
      <c r="B47" s="12">
        <v>45478</v>
      </c>
      <c r="C47" s="3" t="s">
        <v>134</v>
      </c>
      <c r="D47" s="2" t="s">
        <v>21</v>
      </c>
      <c r="E47" s="2" t="s">
        <v>45</v>
      </c>
      <c r="F47" s="2" t="s">
        <v>23</v>
      </c>
      <c r="G47" t="str">
        <f t="shared" si="0"/>
        <v>South</v>
      </c>
      <c r="H47" s="2" t="s">
        <v>47</v>
      </c>
      <c r="I47" s="2" t="s">
        <v>48</v>
      </c>
      <c r="J47" s="2" t="s">
        <v>26</v>
      </c>
      <c r="K47" s="2" t="s">
        <v>70</v>
      </c>
      <c r="L47" s="2" t="s">
        <v>71</v>
      </c>
      <c r="M47" s="5">
        <v>7</v>
      </c>
      <c r="N47" s="5">
        <f t="shared" si="1"/>
        <v>7</v>
      </c>
      <c r="O47" s="4">
        <v>372.97</v>
      </c>
      <c r="P47" s="6">
        <v>0.2</v>
      </c>
      <c r="Q47" s="4">
        <v>2088.63</v>
      </c>
      <c r="R47" s="4">
        <f t="shared" si="2"/>
        <v>2088.63</v>
      </c>
      <c r="S47" s="4">
        <v>-118.09</v>
      </c>
      <c r="T47" s="2" t="s">
        <v>87</v>
      </c>
      <c r="U47" s="2" t="s">
        <v>72</v>
      </c>
    </row>
    <row r="48" spans="1:21" x14ac:dyDescent="0.3">
      <c r="A48" s="2" t="s">
        <v>225</v>
      </c>
      <c r="B48" s="12">
        <v>44956</v>
      </c>
      <c r="C48" s="3" t="s">
        <v>227</v>
      </c>
      <c r="D48" s="2" t="s">
        <v>91</v>
      </c>
      <c r="E48" s="2" t="s">
        <v>22</v>
      </c>
      <c r="F48" s="2" t="s">
        <v>46</v>
      </c>
      <c r="G48" t="str">
        <f t="shared" si="0"/>
        <v>Central</v>
      </c>
      <c r="H48" s="2" t="s">
        <v>47</v>
      </c>
      <c r="I48" s="2" t="s">
        <v>48</v>
      </c>
      <c r="J48" s="2" t="s">
        <v>78</v>
      </c>
      <c r="K48" s="2" t="s">
        <v>79</v>
      </c>
      <c r="L48" s="2" t="s">
        <v>143</v>
      </c>
      <c r="M48" s="5">
        <v>3</v>
      </c>
      <c r="N48" s="5">
        <f t="shared" si="1"/>
        <v>3</v>
      </c>
      <c r="O48" s="4">
        <v>223.5</v>
      </c>
      <c r="P48" s="6">
        <v>0.1</v>
      </c>
      <c r="Q48" s="4">
        <v>603.45000000000005</v>
      </c>
      <c r="R48" s="4">
        <f t="shared" si="2"/>
        <v>603.45000000000005</v>
      </c>
      <c r="S48" s="4">
        <v>112.85</v>
      </c>
      <c r="T48" s="2" t="s">
        <v>29</v>
      </c>
      <c r="U48" s="2" t="s">
        <v>62</v>
      </c>
    </row>
    <row r="49" spans="1:21" x14ac:dyDescent="0.3">
      <c r="A49" s="2" t="s">
        <v>228</v>
      </c>
      <c r="B49" s="12">
        <v>45174</v>
      </c>
      <c r="C49" s="3" t="s">
        <v>229</v>
      </c>
      <c r="D49" s="2" t="s">
        <v>120</v>
      </c>
      <c r="E49" s="2" t="s">
        <v>35</v>
      </c>
      <c r="F49" s="2" t="s">
        <v>53</v>
      </c>
      <c r="G49" t="str">
        <f t="shared" si="0"/>
        <v>West</v>
      </c>
      <c r="H49" s="2" t="s">
        <v>108</v>
      </c>
      <c r="I49" s="2" t="s">
        <v>109</v>
      </c>
      <c r="J49" s="2" t="s">
        <v>38</v>
      </c>
      <c r="K49" s="2" t="s">
        <v>60</v>
      </c>
      <c r="L49" s="2" t="s">
        <v>132</v>
      </c>
      <c r="M49" s="5">
        <v>8</v>
      </c>
      <c r="N49" s="5">
        <f t="shared" si="1"/>
        <v>8</v>
      </c>
      <c r="O49" s="4">
        <v>253.39</v>
      </c>
      <c r="P49" s="6">
        <v>0.05</v>
      </c>
      <c r="Q49" s="4">
        <v>1925.76</v>
      </c>
      <c r="R49" s="4">
        <f t="shared" si="2"/>
        <v>1925.76</v>
      </c>
      <c r="S49" s="4">
        <v>265.14</v>
      </c>
      <c r="T49" s="2" t="s">
        <v>55</v>
      </c>
      <c r="U49" s="2" t="s">
        <v>72</v>
      </c>
    </row>
    <row r="50" spans="1:21" x14ac:dyDescent="0.3">
      <c r="A50" s="2" t="s">
        <v>230</v>
      </c>
      <c r="B50" s="12">
        <v>45176</v>
      </c>
      <c r="C50" s="3" t="s">
        <v>232</v>
      </c>
      <c r="D50" s="2" t="s">
        <v>66</v>
      </c>
      <c r="E50" s="2" t="s">
        <v>45</v>
      </c>
      <c r="F50" s="2" t="s">
        <v>23</v>
      </c>
      <c r="G50" t="str">
        <f t="shared" si="0"/>
        <v>South</v>
      </c>
      <c r="H50" s="2" t="s">
        <v>84</v>
      </c>
      <c r="I50" s="2" t="s">
        <v>201</v>
      </c>
      <c r="J50" s="2" t="s">
        <v>26</v>
      </c>
      <c r="K50" s="2" t="s">
        <v>27</v>
      </c>
      <c r="L50" s="2" t="s">
        <v>179</v>
      </c>
      <c r="M50" s="5">
        <v>6</v>
      </c>
      <c r="N50" s="5">
        <f t="shared" si="1"/>
        <v>6</v>
      </c>
      <c r="O50" s="4">
        <v>217.18</v>
      </c>
      <c r="P50" s="6">
        <v>0.2</v>
      </c>
      <c r="Q50" s="4">
        <v>1042.46</v>
      </c>
      <c r="R50" s="4">
        <f t="shared" si="2"/>
        <v>1042.46</v>
      </c>
      <c r="S50" s="4">
        <v>-22.8</v>
      </c>
      <c r="T50" s="2" t="s">
        <v>41</v>
      </c>
      <c r="U50" s="2" t="s">
        <v>56</v>
      </c>
    </row>
    <row r="51" spans="1:21" x14ac:dyDescent="0.3">
      <c r="A51" s="2" t="s">
        <v>233</v>
      </c>
      <c r="B51" s="12">
        <v>45050</v>
      </c>
      <c r="C51" s="3" t="s">
        <v>234</v>
      </c>
      <c r="D51" s="2" t="s">
        <v>52</v>
      </c>
      <c r="E51" s="2" t="s">
        <v>35</v>
      </c>
      <c r="F51" s="2" t="s">
        <v>23</v>
      </c>
      <c r="G51" t="str">
        <f t="shared" si="0"/>
        <v>South</v>
      </c>
      <c r="H51" s="2" t="s">
        <v>108</v>
      </c>
      <c r="I51" s="2" t="s">
        <v>157</v>
      </c>
      <c r="J51" s="2" t="s">
        <v>38</v>
      </c>
      <c r="K51" s="2" t="s">
        <v>39</v>
      </c>
      <c r="L51" s="2" t="s">
        <v>165</v>
      </c>
      <c r="M51" s="5">
        <v>6</v>
      </c>
      <c r="N51" s="5">
        <f t="shared" si="1"/>
        <v>6</v>
      </c>
      <c r="O51" s="4">
        <v>60.84</v>
      </c>
      <c r="P51" s="6">
        <v>0.2</v>
      </c>
      <c r="Q51" s="4">
        <v>292.02999999999997</v>
      </c>
      <c r="R51" s="4">
        <f t="shared" si="2"/>
        <v>292.02999999999997</v>
      </c>
      <c r="S51" s="4">
        <v>75.17</v>
      </c>
      <c r="T51" s="2" t="s">
        <v>41</v>
      </c>
      <c r="U51" s="2" t="s">
        <v>30</v>
      </c>
    </row>
    <row r="52" spans="1:21" x14ac:dyDescent="0.3">
      <c r="A52" s="2" t="s">
        <v>235</v>
      </c>
      <c r="B52" s="12">
        <v>45230</v>
      </c>
      <c r="C52" s="3" t="s">
        <v>237</v>
      </c>
      <c r="D52" s="2" t="s">
        <v>147</v>
      </c>
      <c r="E52" s="2" t="s">
        <v>35</v>
      </c>
      <c r="F52" s="2" t="s">
        <v>46</v>
      </c>
      <c r="G52" t="str">
        <f t="shared" si="0"/>
        <v>Central</v>
      </c>
      <c r="H52" s="2" t="s">
        <v>68</v>
      </c>
      <c r="I52" s="2" t="s">
        <v>69</v>
      </c>
      <c r="J52" s="2" t="s">
        <v>38</v>
      </c>
      <c r="K52" s="2" t="s">
        <v>39</v>
      </c>
      <c r="L52" s="2" t="s">
        <v>40</v>
      </c>
      <c r="M52" s="5">
        <v>3</v>
      </c>
      <c r="N52" s="5">
        <f t="shared" si="1"/>
        <v>3</v>
      </c>
      <c r="O52" s="4">
        <v>141.6</v>
      </c>
      <c r="P52" s="6">
        <v>0.3</v>
      </c>
      <c r="Q52" s="4">
        <v>297.36</v>
      </c>
      <c r="R52" s="4">
        <f t="shared" si="2"/>
        <v>297.36</v>
      </c>
      <c r="S52" s="4">
        <v>19.54</v>
      </c>
      <c r="T52" s="2" t="s">
        <v>55</v>
      </c>
      <c r="U52" s="2" t="s">
        <v>72</v>
      </c>
    </row>
    <row r="53" spans="1:21" x14ac:dyDescent="0.3">
      <c r="A53" s="2" t="s">
        <v>238</v>
      </c>
      <c r="B53" s="12">
        <v>44939</v>
      </c>
      <c r="C53" s="3" t="s">
        <v>240</v>
      </c>
      <c r="D53" s="2" t="s">
        <v>91</v>
      </c>
      <c r="E53" s="2" t="s">
        <v>45</v>
      </c>
      <c r="F53" s="2" t="s">
        <v>53</v>
      </c>
      <c r="G53" t="str">
        <f t="shared" si="0"/>
        <v>West</v>
      </c>
      <c r="H53" s="2" t="s">
        <v>36</v>
      </c>
      <c r="I53" s="2" t="s">
        <v>92</v>
      </c>
      <c r="J53" s="2" t="s">
        <v>38</v>
      </c>
      <c r="K53" s="2" t="s">
        <v>60</v>
      </c>
      <c r="L53" s="2" t="s">
        <v>116</v>
      </c>
      <c r="M53" s="5">
        <v>8</v>
      </c>
      <c r="N53" s="5">
        <f t="shared" si="1"/>
        <v>8</v>
      </c>
      <c r="O53" s="4">
        <v>219.59</v>
      </c>
      <c r="P53" s="6">
        <v>0.1</v>
      </c>
      <c r="Q53" s="4">
        <v>1581.05</v>
      </c>
      <c r="R53" s="4">
        <f t="shared" si="2"/>
        <v>1581.05</v>
      </c>
      <c r="S53" s="4">
        <v>-150.5</v>
      </c>
      <c r="T53" s="2" t="s">
        <v>87</v>
      </c>
      <c r="U53" s="2" t="s">
        <v>72</v>
      </c>
    </row>
    <row r="54" spans="1:21" x14ac:dyDescent="0.3">
      <c r="A54" s="2" t="s">
        <v>241</v>
      </c>
      <c r="B54" s="12">
        <v>45517</v>
      </c>
      <c r="C54" s="3" t="s">
        <v>243</v>
      </c>
      <c r="D54" s="2" t="s">
        <v>52</v>
      </c>
      <c r="E54" s="2" t="s">
        <v>35</v>
      </c>
      <c r="F54" s="2" t="s">
        <v>23</v>
      </c>
      <c r="G54" t="str">
        <f t="shared" si="0"/>
        <v>South</v>
      </c>
      <c r="H54" s="2" t="s">
        <v>108</v>
      </c>
      <c r="I54" s="2" t="s">
        <v>115</v>
      </c>
      <c r="J54" s="2" t="s">
        <v>38</v>
      </c>
      <c r="K54" s="2" t="s">
        <v>60</v>
      </c>
      <c r="L54" s="2" t="s">
        <v>61</v>
      </c>
      <c r="M54" s="5">
        <v>1</v>
      </c>
      <c r="N54" s="5">
        <f t="shared" si="1"/>
        <v>1</v>
      </c>
      <c r="O54" s="4">
        <v>75.06</v>
      </c>
      <c r="P54" s="6">
        <v>0.2</v>
      </c>
      <c r="Q54" s="4">
        <v>60.05</v>
      </c>
      <c r="R54" s="4">
        <f t="shared" si="2"/>
        <v>60.05</v>
      </c>
      <c r="S54" s="4">
        <v>15.41</v>
      </c>
      <c r="T54" s="2" t="s">
        <v>55</v>
      </c>
      <c r="U54" s="2" t="s">
        <v>72</v>
      </c>
    </row>
    <row r="55" spans="1:21" x14ac:dyDescent="0.3">
      <c r="A55" s="2" t="s">
        <v>244</v>
      </c>
      <c r="B55" s="12">
        <v>45380</v>
      </c>
      <c r="C55" s="3" t="s">
        <v>246</v>
      </c>
      <c r="D55" s="2" t="s">
        <v>52</v>
      </c>
      <c r="E55" s="2" t="s">
        <v>22</v>
      </c>
      <c r="F55" s="2" t="s">
        <v>67</v>
      </c>
      <c r="G55" t="str">
        <f t="shared" si="0"/>
        <v>East</v>
      </c>
      <c r="H55" s="2" t="s">
        <v>84</v>
      </c>
      <c r="I55" s="2" t="s">
        <v>201</v>
      </c>
      <c r="J55" s="2" t="s">
        <v>78</v>
      </c>
      <c r="K55" s="2" t="s">
        <v>93</v>
      </c>
      <c r="L55" s="2" t="s">
        <v>202</v>
      </c>
      <c r="M55" s="5">
        <v>7</v>
      </c>
      <c r="N55" s="5">
        <f t="shared" si="1"/>
        <v>7</v>
      </c>
      <c r="O55" s="4">
        <v>142.97999999999999</v>
      </c>
      <c r="P55" s="6">
        <v>0.2</v>
      </c>
      <c r="Q55" s="4">
        <v>800.69</v>
      </c>
      <c r="R55" s="4">
        <f t="shared" si="2"/>
        <v>800.69</v>
      </c>
      <c r="S55" s="4">
        <v>-121.94</v>
      </c>
      <c r="T55" s="2" t="s">
        <v>29</v>
      </c>
      <c r="U55" s="2" t="s">
        <v>62</v>
      </c>
    </row>
    <row r="56" spans="1:21" x14ac:dyDescent="0.3">
      <c r="A56" s="2" t="s">
        <v>247</v>
      </c>
      <c r="B56" s="12">
        <v>45104</v>
      </c>
      <c r="C56" s="3" t="s">
        <v>249</v>
      </c>
      <c r="D56" s="2" t="s">
        <v>91</v>
      </c>
      <c r="E56" s="2" t="s">
        <v>35</v>
      </c>
      <c r="F56" s="2" t="s">
        <v>67</v>
      </c>
      <c r="G56" t="str">
        <f t="shared" si="0"/>
        <v>East</v>
      </c>
      <c r="H56" s="2" t="s">
        <v>36</v>
      </c>
      <c r="I56" s="2" t="s">
        <v>54</v>
      </c>
      <c r="J56" s="2" t="s">
        <v>38</v>
      </c>
      <c r="K56" s="2" t="s">
        <v>39</v>
      </c>
      <c r="L56" s="2" t="s">
        <v>165</v>
      </c>
      <c r="M56" s="5">
        <v>3</v>
      </c>
      <c r="N56" s="5">
        <f t="shared" si="1"/>
        <v>3</v>
      </c>
      <c r="O56" s="4">
        <v>9.18</v>
      </c>
      <c r="P56" s="6">
        <v>0.15</v>
      </c>
      <c r="Q56" s="4">
        <v>23.41</v>
      </c>
      <c r="R56" s="4">
        <f t="shared" si="2"/>
        <v>23.41</v>
      </c>
      <c r="S56" s="4">
        <v>3.21</v>
      </c>
      <c r="T56" s="2" t="s">
        <v>41</v>
      </c>
      <c r="U56" s="2" t="s">
        <v>72</v>
      </c>
    </row>
    <row r="57" spans="1:21" x14ac:dyDescent="0.3">
      <c r="A57" s="2" t="s">
        <v>250</v>
      </c>
      <c r="B57" s="12">
        <v>45630</v>
      </c>
      <c r="C57" s="3" t="s">
        <v>252</v>
      </c>
      <c r="D57" s="2" t="s">
        <v>91</v>
      </c>
      <c r="E57" s="2" t="s">
        <v>35</v>
      </c>
      <c r="F57" s="2" t="s">
        <v>53</v>
      </c>
      <c r="G57" t="str">
        <f t="shared" si="0"/>
        <v>West</v>
      </c>
      <c r="H57" s="2" t="s">
        <v>68</v>
      </c>
      <c r="I57" s="2" t="s">
        <v>69</v>
      </c>
      <c r="J57" s="2" t="s">
        <v>38</v>
      </c>
      <c r="K57" s="2" t="s">
        <v>60</v>
      </c>
      <c r="L57" s="2" t="s">
        <v>116</v>
      </c>
      <c r="M57" s="5">
        <v>4</v>
      </c>
      <c r="N57" s="5">
        <f t="shared" si="1"/>
        <v>4</v>
      </c>
      <c r="O57" s="4">
        <v>195.91</v>
      </c>
      <c r="P57" s="6">
        <v>0.2</v>
      </c>
      <c r="Q57" s="4">
        <v>626.91</v>
      </c>
      <c r="R57" s="4">
        <f t="shared" si="2"/>
        <v>626.91</v>
      </c>
      <c r="S57" s="4">
        <v>-48.01</v>
      </c>
      <c r="T57" s="2" t="s">
        <v>55</v>
      </c>
      <c r="U57" s="2" t="s">
        <v>56</v>
      </c>
    </row>
    <row r="58" spans="1:21" x14ac:dyDescent="0.3">
      <c r="A58" s="2" t="s">
        <v>253</v>
      </c>
      <c r="B58" s="12">
        <v>45509</v>
      </c>
      <c r="C58" s="3" t="s">
        <v>255</v>
      </c>
      <c r="D58" s="2" t="s">
        <v>120</v>
      </c>
      <c r="E58" s="2" t="s">
        <v>45</v>
      </c>
      <c r="F58" s="2" t="s">
        <v>53</v>
      </c>
      <c r="G58" t="str">
        <f t="shared" si="0"/>
        <v>West</v>
      </c>
      <c r="H58" s="2" t="s">
        <v>84</v>
      </c>
      <c r="I58" s="2" t="s">
        <v>131</v>
      </c>
      <c r="J58" s="2" t="s">
        <v>26</v>
      </c>
      <c r="K58" s="2" t="s">
        <v>70</v>
      </c>
      <c r="L58" s="2" t="s">
        <v>86</v>
      </c>
      <c r="M58" s="5">
        <v>2</v>
      </c>
      <c r="N58" s="5">
        <f t="shared" si="1"/>
        <v>2</v>
      </c>
      <c r="O58" s="4">
        <v>215.16</v>
      </c>
      <c r="P58" s="6">
        <v>0.1</v>
      </c>
      <c r="Q58" s="4">
        <v>387.29</v>
      </c>
      <c r="R58" s="4">
        <f t="shared" si="2"/>
        <v>387.29</v>
      </c>
      <c r="S58" s="4">
        <v>54.95</v>
      </c>
      <c r="T58" s="2" t="s">
        <v>29</v>
      </c>
      <c r="U58" s="2" t="s">
        <v>72</v>
      </c>
    </row>
    <row r="59" spans="1:21" x14ac:dyDescent="0.3">
      <c r="A59" s="2" t="s">
        <v>256</v>
      </c>
      <c r="B59" s="12">
        <v>45257</v>
      </c>
      <c r="C59" s="3" t="s">
        <v>258</v>
      </c>
      <c r="D59" s="2" t="s">
        <v>91</v>
      </c>
      <c r="E59" s="2" t="s">
        <v>22</v>
      </c>
      <c r="F59" s="2" t="s">
        <v>53</v>
      </c>
      <c r="G59" t="str">
        <f t="shared" si="0"/>
        <v>West</v>
      </c>
      <c r="H59" s="2" t="s">
        <v>36</v>
      </c>
      <c r="I59" s="2" t="s">
        <v>92</v>
      </c>
      <c r="J59" s="2" t="s">
        <v>26</v>
      </c>
      <c r="K59" s="2" t="s">
        <v>27</v>
      </c>
      <c r="L59" s="2" t="s">
        <v>28</v>
      </c>
      <c r="M59" s="5">
        <v>1</v>
      </c>
      <c r="N59" s="5">
        <f t="shared" si="1"/>
        <v>1</v>
      </c>
      <c r="O59" s="4">
        <v>48.37</v>
      </c>
      <c r="P59" s="6">
        <v>0.3</v>
      </c>
      <c r="Q59" s="4">
        <v>33.86</v>
      </c>
      <c r="R59" s="4">
        <f t="shared" si="2"/>
        <v>33.86</v>
      </c>
      <c r="S59" s="4">
        <v>6.93</v>
      </c>
      <c r="T59" s="2" t="s">
        <v>726</v>
      </c>
      <c r="U59" s="2" t="s">
        <v>72</v>
      </c>
    </row>
    <row r="60" spans="1:21" x14ac:dyDescent="0.3">
      <c r="A60" s="2" t="s">
        <v>260</v>
      </c>
      <c r="B60" s="12">
        <v>45112</v>
      </c>
      <c r="C60" s="3" t="s">
        <v>261</v>
      </c>
      <c r="D60" s="2" t="s">
        <v>66</v>
      </c>
      <c r="E60" s="2" t="s">
        <v>22</v>
      </c>
      <c r="F60" s="2" t="s">
        <v>53</v>
      </c>
      <c r="G60" t="str">
        <f t="shared" si="0"/>
        <v>West</v>
      </c>
      <c r="H60" s="2" t="s">
        <v>36</v>
      </c>
      <c r="I60" s="2" t="s">
        <v>92</v>
      </c>
      <c r="J60" s="2" t="s">
        <v>78</v>
      </c>
      <c r="K60" s="2" t="s">
        <v>79</v>
      </c>
      <c r="L60" s="2" t="s">
        <v>80</v>
      </c>
      <c r="M60" s="5">
        <v>8</v>
      </c>
      <c r="N60" s="5">
        <f t="shared" si="1"/>
        <v>8</v>
      </c>
      <c r="O60" s="4">
        <v>436.32</v>
      </c>
      <c r="P60" s="6">
        <v>0.15</v>
      </c>
      <c r="Q60" s="4">
        <v>2966.98</v>
      </c>
      <c r="R60" s="4">
        <f t="shared" si="2"/>
        <v>2966.98</v>
      </c>
      <c r="S60" s="4">
        <v>-59.16</v>
      </c>
      <c r="T60" s="2" t="s">
        <v>41</v>
      </c>
      <c r="U60" s="2" t="s">
        <v>72</v>
      </c>
    </row>
    <row r="61" spans="1:21" x14ac:dyDescent="0.3">
      <c r="A61" s="2" t="s">
        <v>262</v>
      </c>
      <c r="B61" s="12">
        <v>45434</v>
      </c>
      <c r="C61" s="3" t="s">
        <v>264</v>
      </c>
      <c r="D61" s="2" t="s">
        <v>66</v>
      </c>
      <c r="E61" s="2" t="s">
        <v>45</v>
      </c>
      <c r="F61" s="2" t="s">
        <v>46</v>
      </c>
      <c r="G61" t="str">
        <f t="shared" si="0"/>
        <v>Central</v>
      </c>
      <c r="H61" s="2" t="s">
        <v>84</v>
      </c>
      <c r="I61" s="2" t="s">
        <v>201</v>
      </c>
      <c r="J61" s="2" t="s">
        <v>26</v>
      </c>
      <c r="K61" s="2" t="s">
        <v>27</v>
      </c>
      <c r="L61" s="2" t="s">
        <v>28</v>
      </c>
      <c r="M61" s="5">
        <v>7</v>
      </c>
      <c r="N61" s="5">
        <f t="shared" si="1"/>
        <v>7</v>
      </c>
      <c r="O61" s="4">
        <v>367.6</v>
      </c>
      <c r="P61" s="6">
        <v>0.2</v>
      </c>
      <c r="Q61" s="4">
        <v>2058.56</v>
      </c>
      <c r="R61" s="4">
        <f t="shared" si="2"/>
        <v>2058.56</v>
      </c>
      <c r="S61" s="4">
        <v>-335.79</v>
      </c>
      <c r="T61" s="2" t="s">
        <v>87</v>
      </c>
      <c r="U61" s="2" t="s">
        <v>30</v>
      </c>
    </row>
    <row r="62" spans="1:21" x14ac:dyDescent="0.3">
      <c r="A62" s="2" t="s">
        <v>265</v>
      </c>
      <c r="B62" s="12">
        <v>45482</v>
      </c>
      <c r="C62" s="3" t="s">
        <v>266</v>
      </c>
      <c r="D62" s="2" t="s">
        <v>120</v>
      </c>
      <c r="E62" s="2" t="s">
        <v>35</v>
      </c>
      <c r="F62" s="2" t="s">
        <v>67</v>
      </c>
      <c r="G62" t="str">
        <f t="shared" si="0"/>
        <v>East</v>
      </c>
      <c r="H62" s="2" t="s">
        <v>47</v>
      </c>
      <c r="I62" s="2" t="s">
        <v>48</v>
      </c>
      <c r="J62" s="2" t="s">
        <v>26</v>
      </c>
      <c r="K62" s="2" t="s">
        <v>27</v>
      </c>
      <c r="L62" s="2" t="s">
        <v>179</v>
      </c>
      <c r="M62" s="5">
        <v>1</v>
      </c>
      <c r="N62" s="5">
        <f t="shared" si="1"/>
        <v>1</v>
      </c>
      <c r="O62" s="4">
        <v>90.91</v>
      </c>
      <c r="P62" s="6">
        <v>0.1</v>
      </c>
      <c r="Q62" s="4">
        <v>81.819999999999993</v>
      </c>
      <c r="R62" s="4">
        <f t="shared" si="2"/>
        <v>81.819999999999993</v>
      </c>
      <c r="S62" s="4">
        <v>8.7100000000000009</v>
      </c>
      <c r="T62" s="2" t="s">
        <v>55</v>
      </c>
      <c r="U62" s="2" t="s">
        <v>56</v>
      </c>
    </row>
    <row r="63" spans="1:21" x14ac:dyDescent="0.3">
      <c r="A63" s="2" t="s">
        <v>267</v>
      </c>
      <c r="B63" s="12">
        <v>45642</v>
      </c>
      <c r="C63" s="3" t="s">
        <v>269</v>
      </c>
      <c r="D63" s="2" t="s">
        <v>91</v>
      </c>
      <c r="E63" s="2" t="s">
        <v>22</v>
      </c>
      <c r="F63" s="2" t="s">
        <v>53</v>
      </c>
      <c r="G63" t="str">
        <f t="shared" si="0"/>
        <v>West</v>
      </c>
      <c r="H63" s="2" t="s">
        <v>47</v>
      </c>
      <c r="I63" s="2" t="s">
        <v>121</v>
      </c>
      <c r="J63" s="2" t="s">
        <v>78</v>
      </c>
      <c r="K63" s="2" t="s">
        <v>93</v>
      </c>
      <c r="L63" s="2" t="s">
        <v>110</v>
      </c>
      <c r="M63" s="5">
        <v>1</v>
      </c>
      <c r="N63" s="5">
        <f t="shared" si="1"/>
        <v>1</v>
      </c>
      <c r="O63" s="4">
        <v>438.13</v>
      </c>
      <c r="P63" s="6">
        <v>0.2</v>
      </c>
      <c r="Q63" s="4">
        <v>350.5</v>
      </c>
      <c r="R63" s="4">
        <f t="shared" si="2"/>
        <v>350.5</v>
      </c>
      <c r="S63" s="4">
        <v>65.78</v>
      </c>
      <c r="T63" s="2" t="s">
        <v>87</v>
      </c>
      <c r="U63" s="2" t="s">
        <v>30</v>
      </c>
    </row>
    <row r="64" spans="1:21" x14ac:dyDescent="0.3">
      <c r="A64" s="2" t="s">
        <v>270</v>
      </c>
      <c r="B64" s="12">
        <v>45043</v>
      </c>
      <c r="C64" s="3" t="s">
        <v>272</v>
      </c>
      <c r="D64" s="2" t="s">
        <v>34</v>
      </c>
      <c r="E64" s="2" t="s">
        <v>45</v>
      </c>
      <c r="F64" s="2" t="s">
        <v>23</v>
      </c>
      <c r="G64" t="str">
        <f t="shared" si="0"/>
        <v>South</v>
      </c>
      <c r="H64" s="2" t="s">
        <v>47</v>
      </c>
      <c r="I64" s="2" t="s">
        <v>121</v>
      </c>
      <c r="J64" s="2" t="s">
        <v>38</v>
      </c>
      <c r="K64" s="2" t="s">
        <v>39</v>
      </c>
      <c r="L64" s="2" t="s">
        <v>98</v>
      </c>
      <c r="M64" s="5">
        <v>3</v>
      </c>
      <c r="N64" s="5">
        <f t="shared" si="1"/>
        <v>3</v>
      </c>
      <c r="O64" s="4">
        <v>228.28</v>
      </c>
      <c r="P64" s="6">
        <v>0.3</v>
      </c>
      <c r="Q64" s="4">
        <v>479.39</v>
      </c>
      <c r="R64" s="4">
        <f t="shared" si="2"/>
        <v>479.39</v>
      </c>
      <c r="S64" s="4">
        <v>-21.93</v>
      </c>
      <c r="T64" s="2" t="s">
        <v>87</v>
      </c>
      <c r="U64" s="2" t="s">
        <v>62</v>
      </c>
    </row>
    <row r="65" spans="1:21" x14ac:dyDescent="0.3">
      <c r="A65" s="2" t="s">
        <v>273</v>
      </c>
      <c r="B65" s="12">
        <v>45122</v>
      </c>
      <c r="C65" s="3" t="s">
        <v>275</v>
      </c>
      <c r="D65" s="2" t="s">
        <v>66</v>
      </c>
      <c r="E65" s="2" t="s">
        <v>22</v>
      </c>
      <c r="F65" s="2" t="s">
        <v>46</v>
      </c>
      <c r="G65" t="str">
        <f t="shared" si="0"/>
        <v>Central</v>
      </c>
      <c r="H65" s="2" t="s">
        <v>36</v>
      </c>
      <c r="I65" s="2" t="s">
        <v>37</v>
      </c>
      <c r="J65" s="2" t="s">
        <v>78</v>
      </c>
      <c r="K65" s="2" t="s">
        <v>93</v>
      </c>
      <c r="L65" s="2" t="s">
        <v>94</v>
      </c>
      <c r="M65" s="5">
        <v>3</v>
      </c>
      <c r="N65" s="5">
        <f t="shared" si="1"/>
        <v>3</v>
      </c>
      <c r="O65" s="4">
        <v>389.9</v>
      </c>
      <c r="P65" s="6">
        <v>0.1</v>
      </c>
      <c r="Q65" s="4">
        <v>1052.73</v>
      </c>
      <c r="R65" s="4">
        <f t="shared" si="2"/>
        <v>1052.73</v>
      </c>
      <c r="S65" s="4">
        <v>184.68</v>
      </c>
      <c r="T65" s="2" t="s">
        <v>41</v>
      </c>
      <c r="U65" s="2" t="s">
        <v>56</v>
      </c>
    </row>
    <row r="66" spans="1:21" x14ac:dyDescent="0.3">
      <c r="A66" s="2" t="s">
        <v>276</v>
      </c>
      <c r="B66" s="12">
        <v>45520</v>
      </c>
      <c r="C66" s="3" t="s">
        <v>278</v>
      </c>
      <c r="D66" s="2" t="s">
        <v>34</v>
      </c>
      <c r="E66" s="2" t="s">
        <v>45</v>
      </c>
      <c r="F66" s="2" t="s">
        <v>46</v>
      </c>
      <c r="G66" t="str">
        <f t="shared" ref="G66:G129" si="3">IF(TRIM(F66)="","",PROPER(TRIM(F66)))</f>
        <v>Central</v>
      </c>
      <c r="H66" s="2" t="s">
        <v>108</v>
      </c>
      <c r="I66" s="2" t="s">
        <v>109</v>
      </c>
      <c r="J66" s="2" t="s">
        <v>26</v>
      </c>
      <c r="K66" s="2" t="s">
        <v>70</v>
      </c>
      <c r="L66" s="2" t="s">
        <v>71</v>
      </c>
      <c r="M66" s="5">
        <v>3</v>
      </c>
      <c r="N66" s="5">
        <f t="shared" ref="N66:N129" si="4">IFERROR(IF(TRIM(M66)="","",IF(UPPER(TRIM(M66))="N/A","",IF(VALUE(M66)&lt;0,"",VALUE(M66)))),"")</f>
        <v>3</v>
      </c>
      <c r="O66" s="4">
        <v>205.37</v>
      </c>
      <c r="P66" s="6">
        <v>0.15</v>
      </c>
      <c r="R66" s="4">
        <f t="shared" ref="R66:R129" si="5">IFERROR(IF(Q66&lt;&gt;"",Q66,IF(OR(M66="",O66="",P66=""),"",IF(OR(M66&lt;=0,O66&lt;=0,P66&lt;0,P66&gt;1),"",ROUND(M66*O66*(1-P66),2)))),"")</f>
        <v>523.69000000000005</v>
      </c>
      <c r="S66" s="4">
        <v>-11.12</v>
      </c>
      <c r="T66" s="2" t="s">
        <v>55</v>
      </c>
      <c r="U66" s="2" t="s">
        <v>72</v>
      </c>
    </row>
    <row r="67" spans="1:21" x14ac:dyDescent="0.3">
      <c r="A67" s="2" t="s">
        <v>279</v>
      </c>
      <c r="B67" s="12">
        <v>45347</v>
      </c>
      <c r="C67" s="3" t="s">
        <v>281</v>
      </c>
      <c r="D67" s="2" t="s">
        <v>120</v>
      </c>
      <c r="E67" s="2" t="s">
        <v>35</v>
      </c>
      <c r="F67" s="2" t="s">
        <v>67</v>
      </c>
      <c r="G67" t="str">
        <f t="shared" si="3"/>
        <v>East</v>
      </c>
      <c r="H67" s="2" t="s">
        <v>24</v>
      </c>
      <c r="I67" s="2" t="s">
        <v>59</v>
      </c>
      <c r="J67" s="2" t="s">
        <v>38</v>
      </c>
      <c r="K67" s="2" t="s">
        <v>39</v>
      </c>
      <c r="L67" s="2" t="s">
        <v>40</v>
      </c>
      <c r="M67" s="5">
        <v>8</v>
      </c>
      <c r="N67" s="5">
        <f t="shared" si="4"/>
        <v>8</v>
      </c>
      <c r="O67" s="4">
        <v>319.70999999999998</v>
      </c>
      <c r="P67" s="6">
        <v>0.15</v>
      </c>
      <c r="Q67" s="4">
        <v>2174.0300000000002</v>
      </c>
      <c r="R67" s="4">
        <f t="shared" si="5"/>
        <v>2174.0300000000002</v>
      </c>
      <c r="S67" s="4">
        <v>-5.23</v>
      </c>
      <c r="T67" s="2" t="s">
        <v>41</v>
      </c>
      <c r="U67" s="2" t="s">
        <v>30</v>
      </c>
    </row>
    <row r="68" spans="1:21" x14ac:dyDescent="0.3">
      <c r="A68" s="2" t="s">
        <v>282</v>
      </c>
      <c r="B68" s="12">
        <v>45029</v>
      </c>
      <c r="C68" s="3" t="s">
        <v>284</v>
      </c>
      <c r="D68" s="2" t="s">
        <v>21</v>
      </c>
      <c r="E68" s="2" t="s">
        <v>45</v>
      </c>
      <c r="F68" s="2" t="s">
        <v>46</v>
      </c>
      <c r="G68" t="str">
        <f t="shared" si="3"/>
        <v>Central</v>
      </c>
      <c r="H68" s="2" t="s">
        <v>36</v>
      </c>
      <c r="I68" s="2" t="s">
        <v>92</v>
      </c>
      <c r="J68" s="2" t="s">
        <v>78</v>
      </c>
      <c r="K68" s="2" t="s">
        <v>93</v>
      </c>
      <c r="L68" s="2" t="s">
        <v>202</v>
      </c>
      <c r="M68" s="5">
        <v>1</v>
      </c>
      <c r="N68" s="5">
        <f t="shared" si="4"/>
        <v>1</v>
      </c>
      <c r="O68" s="4">
        <v>327.32</v>
      </c>
      <c r="P68" s="6">
        <v>0.15</v>
      </c>
      <c r="Q68" s="4">
        <v>278.22000000000003</v>
      </c>
      <c r="R68" s="4">
        <f t="shared" si="5"/>
        <v>278.22000000000003</v>
      </c>
      <c r="S68" s="4">
        <v>61.38</v>
      </c>
      <c r="T68" s="2" t="s">
        <v>87</v>
      </c>
      <c r="U68" s="2" t="s">
        <v>30</v>
      </c>
    </row>
    <row r="69" spans="1:21" x14ac:dyDescent="0.3">
      <c r="A69" s="2" t="s">
        <v>285</v>
      </c>
      <c r="B69" s="12">
        <v>45617</v>
      </c>
      <c r="C69" s="3" t="s">
        <v>107</v>
      </c>
      <c r="D69" s="2" t="s">
        <v>21</v>
      </c>
      <c r="E69" s="2" t="s">
        <v>35</v>
      </c>
      <c r="F69" s="2" t="s">
        <v>46</v>
      </c>
      <c r="G69" t="str">
        <f t="shared" si="3"/>
        <v>Central</v>
      </c>
      <c r="H69" s="2" t="s">
        <v>36</v>
      </c>
      <c r="I69" s="2" t="s">
        <v>92</v>
      </c>
      <c r="J69" s="2" t="s">
        <v>78</v>
      </c>
      <c r="K69" s="2" t="s">
        <v>79</v>
      </c>
      <c r="L69" s="2" t="s">
        <v>80</v>
      </c>
      <c r="M69" s="5">
        <v>6</v>
      </c>
      <c r="N69" s="5">
        <f t="shared" si="4"/>
        <v>6</v>
      </c>
      <c r="O69" s="4">
        <v>285.05</v>
      </c>
      <c r="P69" s="6">
        <v>0.15</v>
      </c>
      <c r="Q69" s="4">
        <v>1453.76</v>
      </c>
      <c r="R69" s="4">
        <f t="shared" si="5"/>
        <v>1453.76</v>
      </c>
      <c r="S69" s="4">
        <v>321.70999999999998</v>
      </c>
      <c r="T69" s="2" t="s">
        <v>29</v>
      </c>
      <c r="U69" s="2" t="s">
        <v>72</v>
      </c>
    </row>
    <row r="70" spans="1:21" x14ac:dyDescent="0.3">
      <c r="A70" s="2" t="s">
        <v>287</v>
      </c>
      <c r="B70" s="12">
        <v>45575</v>
      </c>
      <c r="C70" s="3" t="s">
        <v>289</v>
      </c>
      <c r="D70" s="2" t="s">
        <v>66</v>
      </c>
      <c r="E70" s="2" t="s">
        <v>35</v>
      </c>
      <c r="F70" s="2" t="s">
        <v>46</v>
      </c>
      <c r="G70" t="str">
        <f t="shared" si="3"/>
        <v>Central</v>
      </c>
      <c r="H70" s="2" t="s">
        <v>108</v>
      </c>
      <c r="I70" s="2" t="s">
        <v>157</v>
      </c>
      <c r="J70" s="2" t="s">
        <v>38</v>
      </c>
      <c r="K70" s="2" t="s">
        <v>60</v>
      </c>
      <c r="L70" s="2" t="s">
        <v>132</v>
      </c>
      <c r="M70" s="5">
        <v>8</v>
      </c>
      <c r="N70" s="5">
        <f t="shared" si="4"/>
        <v>8</v>
      </c>
      <c r="O70" s="4">
        <v>81.53</v>
      </c>
      <c r="P70" s="6">
        <v>0.1</v>
      </c>
      <c r="Q70" s="4">
        <v>587.02</v>
      </c>
      <c r="R70" s="4">
        <f t="shared" si="5"/>
        <v>587.02</v>
      </c>
      <c r="S70" s="4">
        <v>138.29</v>
      </c>
      <c r="T70" s="2" t="s">
        <v>41</v>
      </c>
      <c r="U70" s="2" t="s">
        <v>72</v>
      </c>
    </row>
    <row r="71" spans="1:21" x14ac:dyDescent="0.3">
      <c r="A71" s="2" t="s">
        <v>290</v>
      </c>
      <c r="B71" s="12">
        <v>45177</v>
      </c>
      <c r="C71" s="3" t="s">
        <v>291</v>
      </c>
      <c r="D71" s="2" t="s">
        <v>52</v>
      </c>
      <c r="E71" s="2" t="s">
        <v>45</v>
      </c>
      <c r="F71" s="2" t="s">
        <v>67</v>
      </c>
      <c r="G71" t="str">
        <f t="shared" si="3"/>
        <v>East</v>
      </c>
      <c r="H71" s="2" t="s">
        <v>36</v>
      </c>
      <c r="I71" s="2" t="s">
        <v>92</v>
      </c>
      <c r="J71" s="2" t="s">
        <v>38</v>
      </c>
      <c r="K71" s="2" t="s">
        <v>39</v>
      </c>
      <c r="L71" s="2" t="s">
        <v>98</v>
      </c>
      <c r="M71" s="5">
        <v>3</v>
      </c>
      <c r="N71" s="5">
        <f t="shared" si="4"/>
        <v>3</v>
      </c>
      <c r="O71" s="4">
        <v>83.13</v>
      </c>
      <c r="P71" s="6">
        <v>0</v>
      </c>
      <c r="Q71" s="4">
        <v>249.39</v>
      </c>
      <c r="R71" s="4">
        <f t="shared" si="5"/>
        <v>249.39</v>
      </c>
      <c r="S71" s="4">
        <v>25.03</v>
      </c>
      <c r="T71" s="2" t="s">
        <v>87</v>
      </c>
      <c r="U71" s="2" t="s">
        <v>56</v>
      </c>
    </row>
    <row r="72" spans="1:21" x14ac:dyDescent="0.3">
      <c r="A72" s="2" t="s">
        <v>292</v>
      </c>
      <c r="B72" s="12">
        <v>45188</v>
      </c>
      <c r="C72" s="3" t="s">
        <v>294</v>
      </c>
      <c r="D72" s="2" t="s">
        <v>120</v>
      </c>
      <c r="E72" s="2" t="s">
        <v>45</v>
      </c>
      <c r="F72" s="2" t="s">
        <v>46</v>
      </c>
      <c r="G72" t="str">
        <f t="shared" si="3"/>
        <v>Central</v>
      </c>
      <c r="H72" s="2" t="s">
        <v>108</v>
      </c>
      <c r="I72" s="2" t="s">
        <v>157</v>
      </c>
      <c r="J72" s="2" t="s">
        <v>78</v>
      </c>
      <c r="K72" s="2" t="s">
        <v>93</v>
      </c>
      <c r="L72" s="2" t="s">
        <v>110</v>
      </c>
      <c r="M72" s="5">
        <v>8</v>
      </c>
      <c r="N72" s="5">
        <f t="shared" si="4"/>
        <v>8</v>
      </c>
      <c r="O72" s="4">
        <v>406.33</v>
      </c>
      <c r="P72" s="6">
        <v>0.3</v>
      </c>
      <c r="Q72" s="4">
        <v>2275.4499999999998</v>
      </c>
      <c r="R72" s="4">
        <f t="shared" si="5"/>
        <v>2275.4499999999998</v>
      </c>
      <c r="S72" s="4">
        <v>162.55000000000001</v>
      </c>
      <c r="T72" s="2" t="s">
        <v>87</v>
      </c>
      <c r="U72" s="2" t="s">
        <v>56</v>
      </c>
    </row>
    <row r="73" spans="1:21" x14ac:dyDescent="0.3">
      <c r="A73" s="2" t="s">
        <v>295</v>
      </c>
      <c r="B73" s="12">
        <v>45236</v>
      </c>
      <c r="C73" s="3" t="s">
        <v>297</v>
      </c>
      <c r="D73" s="2" t="s">
        <v>91</v>
      </c>
      <c r="E73" s="2" t="s">
        <v>35</v>
      </c>
      <c r="F73" s="2" t="s">
        <v>23</v>
      </c>
      <c r="G73" t="str">
        <f t="shared" si="3"/>
        <v>South</v>
      </c>
      <c r="H73" s="2" t="s">
        <v>68</v>
      </c>
      <c r="I73" s="2" t="s">
        <v>69</v>
      </c>
      <c r="J73" s="2" t="s">
        <v>78</v>
      </c>
      <c r="K73" s="2" t="s">
        <v>93</v>
      </c>
      <c r="L73" s="2" t="s">
        <v>202</v>
      </c>
      <c r="M73" s="5">
        <v>8</v>
      </c>
      <c r="N73" s="5">
        <f t="shared" si="4"/>
        <v>8</v>
      </c>
      <c r="O73" s="4">
        <v>55.14</v>
      </c>
      <c r="P73" s="6">
        <v>0.15</v>
      </c>
      <c r="Q73" s="4">
        <v>374.95</v>
      </c>
      <c r="R73" s="4">
        <f t="shared" si="5"/>
        <v>374.95</v>
      </c>
      <c r="S73" s="4">
        <v>31.15</v>
      </c>
      <c r="T73" s="2" t="s">
        <v>29</v>
      </c>
      <c r="U73" s="2" t="s">
        <v>30</v>
      </c>
    </row>
    <row r="74" spans="1:21" x14ac:dyDescent="0.3">
      <c r="A74" s="2" t="s">
        <v>298</v>
      </c>
      <c r="B74" s="12">
        <v>45435</v>
      </c>
      <c r="C74" s="3" t="s">
        <v>300</v>
      </c>
      <c r="D74" s="2" t="s">
        <v>21</v>
      </c>
      <c r="E74" s="2" t="s">
        <v>22</v>
      </c>
      <c r="F74" s="2" t="s">
        <v>53</v>
      </c>
      <c r="G74" t="str">
        <f t="shared" si="3"/>
        <v>West</v>
      </c>
      <c r="H74" s="2" t="s">
        <v>84</v>
      </c>
      <c r="I74" s="2" t="s">
        <v>85</v>
      </c>
      <c r="J74" s="2" t="s">
        <v>26</v>
      </c>
      <c r="K74" s="2" t="s">
        <v>70</v>
      </c>
      <c r="L74" s="2" t="s">
        <v>222</v>
      </c>
      <c r="M74" s="5">
        <v>6</v>
      </c>
      <c r="N74" s="5">
        <f t="shared" si="4"/>
        <v>6</v>
      </c>
      <c r="O74" s="4">
        <v>104.8</v>
      </c>
      <c r="P74" s="6">
        <v>0.05</v>
      </c>
      <c r="Q74" s="4">
        <v>597.36</v>
      </c>
      <c r="R74" s="4">
        <f t="shared" si="5"/>
        <v>597.36</v>
      </c>
      <c r="S74" s="4">
        <v>63.09</v>
      </c>
      <c r="T74" s="2" t="s">
        <v>87</v>
      </c>
      <c r="U74" s="2" t="s">
        <v>30</v>
      </c>
    </row>
    <row r="75" spans="1:21" x14ac:dyDescent="0.3">
      <c r="A75" s="2" t="s">
        <v>301</v>
      </c>
      <c r="B75" s="12">
        <v>45300</v>
      </c>
      <c r="C75" s="3" t="s">
        <v>303</v>
      </c>
      <c r="D75" s="2" t="s">
        <v>52</v>
      </c>
      <c r="E75" s="2" t="s">
        <v>35</v>
      </c>
      <c r="F75" s="2" t="s">
        <v>46</v>
      </c>
      <c r="G75" t="str">
        <f t="shared" si="3"/>
        <v>Central</v>
      </c>
      <c r="H75" s="2" t="s">
        <v>108</v>
      </c>
      <c r="I75" s="2" t="s">
        <v>157</v>
      </c>
      <c r="J75" s="2" t="s">
        <v>26</v>
      </c>
      <c r="K75" s="2" t="s">
        <v>70</v>
      </c>
      <c r="L75" s="2" t="s">
        <v>86</v>
      </c>
      <c r="M75" s="5">
        <v>2</v>
      </c>
      <c r="N75" s="5">
        <f t="shared" si="4"/>
        <v>2</v>
      </c>
      <c r="O75" s="4">
        <v>410.06</v>
      </c>
      <c r="P75" s="6">
        <v>0.1</v>
      </c>
      <c r="Q75" s="4">
        <v>738.11</v>
      </c>
      <c r="R75" s="4">
        <f t="shared" si="5"/>
        <v>738.11</v>
      </c>
      <c r="S75" s="4">
        <v>120.93</v>
      </c>
      <c r="T75" s="2" t="s">
        <v>41</v>
      </c>
      <c r="U75" s="2" t="s">
        <v>62</v>
      </c>
    </row>
    <row r="76" spans="1:21" x14ac:dyDescent="0.3">
      <c r="A76" s="2" t="s">
        <v>304</v>
      </c>
      <c r="B76" s="12">
        <v>45420</v>
      </c>
      <c r="C76" s="3" t="s">
        <v>306</v>
      </c>
      <c r="D76" s="2" t="s">
        <v>52</v>
      </c>
      <c r="E76" s="2" t="s">
        <v>22</v>
      </c>
      <c r="F76" s="2" t="s">
        <v>23</v>
      </c>
      <c r="G76" t="str">
        <f t="shared" si="3"/>
        <v>South</v>
      </c>
      <c r="H76" s="2" t="s">
        <v>84</v>
      </c>
      <c r="I76" s="2" t="s">
        <v>201</v>
      </c>
      <c r="J76" s="2" t="s">
        <v>78</v>
      </c>
      <c r="K76" s="2" t="s">
        <v>79</v>
      </c>
      <c r="L76" s="2" t="s">
        <v>143</v>
      </c>
      <c r="M76" s="5">
        <v>6</v>
      </c>
      <c r="N76" s="5">
        <f t="shared" si="4"/>
        <v>6</v>
      </c>
      <c r="O76" s="4">
        <v>363.47</v>
      </c>
      <c r="P76" s="6">
        <v>0.15</v>
      </c>
      <c r="Q76" s="4">
        <v>1853.7</v>
      </c>
      <c r="R76" s="4">
        <f t="shared" si="5"/>
        <v>1853.7</v>
      </c>
      <c r="S76" s="4">
        <v>487.4</v>
      </c>
      <c r="T76" s="2" t="s">
        <v>41</v>
      </c>
      <c r="U76" s="2" t="s">
        <v>30</v>
      </c>
    </row>
    <row r="77" spans="1:21" x14ac:dyDescent="0.3">
      <c r="A77" s="2" t="s">
        <v>307</v>
      </c>
      <c r="B77" s="12">
        <v>44941</v>
      </c>
      <c r="C77" s="3" t="s">
        <v>309</v>
      </c>
      <c r="D77" s="2" t="s">
        <v>34</v>
      </c>
      <c r="E77" s="2" t="s">
        <v>22</v>
      </c>
      <c r="F77" s="2" t="s">
        <v>46</v>
      </c>
      <c r="G77" t="str">
        <f t="shared" si="3"/>
        <v>Central</v>
      </c>
      <c r="H77" s="2" t="s">
        <v>84</v>
      </c>
      <c r="I77" s="2" t="s">
        <v>201</v>
      </c>
      <c r="J77" s="2" t="s">
        <v>78</v>
      </c>
      <c r="K77" s="2" t="s">
        <v>93</v>
      </c>
      <c r="L77" s="2" t="s">
        <v>94</v>
      </c>
      <c r="M77" s="5">
        <v>2</v>
      </c>
      <c r="N77" s="5">
        <f t="shared" si="4"/>
        <v>2</v>
      </c>
      <c r="O77" s="4">
        <v>209.02</v>
      </c>
      <c r="P77" s="6">
        <v>0.1</v>
      </c>
      <c r="Q77" s="4">
        <v>292.63</v>
      </c>
      <c r="R77" s="4">
        <f t="shared" si="5"/>
        <v>292.63</v>
      </c>
      <c r="S77" s="4">
        <v>48.15</v>
      </c>
      <c r="T77" s="2" t="s">
        <v>55</v>
      </c>
      <c r="U77" s="2" t="s">
        <v>72</v>
      </c>
    </row>
    <row r="78" spans="1:21" x14ac:dyDescent="0.3">
      <c r="A78" s="2" t="s">
        <v>311</v>
      </c>
      <c r="B78" s="12">
        <v>45561</v>
      </c>
      <c r="C78" s="3" t="s">
        <v>313</v>
      </c>
      <c r="D78" s="2" t="s">
        <v>34</v>
      </c>
      <c r="E78" s="2" t="s">
        <v>35</v>
      </c>
      <c r="F78" s="2" t="s">
        <v>67</v>
      </c>
      <c r="G78" t="str">
        <f t="shared" si="3"/>
        <v>East</v>
      </c>
      <c r="H78" s="2" t="s">
        <v>36</v>
      </c>
      <c r="I78" s="2" t="s">
        <v>92</v>
      </c>
      <c r="J78" s="2" t="s">
        <v>38</v>
      </c>
      <c r="K78" s="2" t="s">
        <v>60</v>
      </c>
      <c r="L78" s="2" t="s">
        <v>116</v>
      </c>
      <c r="M78" s="5">
        <v>4</v>
      </c>
      <c r="N78" s="5">
        <f t="shared" si="4"/>
        <v>4</v>
      </c>
      <c r="O78" s="4">
        <v>294.26</v>
      </c>
      <c r="P78" s="6">
        <v>0.3</v>
      </c>
      <c r="Q78" s="4">
        <v>823.93</v>
      </c>
      <c r="R78" s="4">
        <f t="shared" si="5"/>
        <v>823.93</v>
      </c>
      <c r="S78" s="4">
        <v>163.94</v>
      </c>
      <c r="T78" s="2" t="s">
        <v>29</v>
      </c>
      <c r="U78" s="2" t="s">
        <v>56</v>
      </c>
    </row>
    <row r="79" spans="1:21" x14ac:dyDescent="0.3">
      <c r="A79" s="2" t="s">
        <v>314</v>
      </c>
      <c r="B79" s="12">
        <v>45045</v>
      </c>
      <c r="C79" s="3" t="s">
        <v>315</v>
      </c>
      <c r="D79" s="2" t="s">
        <v>34</v>
      </c>
      <c r="E79" s="2" t="s">
        <v>22</v>
      </c>
      <c r="F79" s="2" t="s">
        <v>67</v>
      </c>
      <c r="G79" t="str">
        <f t="shared" si="3"/>
        <v>East</v>
      </c>
      <c r="H79" s="2" t="s">
        <v>24</v>
      </c>
      <c r="I79" s="2" t="s">
        <v>125</v>
      </c>
      <c r="J79" s="2" t="s">
        <v>78</v>
      </c>
      <c r="K79" s="2" t="s">
        <v>93</v>
      </c>
      <c r="L79" s="2" t="s">
        <v>202</v>
      </c>
      <c r="M79" s="5">
        <v>3</v>
      </c>
      <c r="N79" s="5">
        <f t="shared" si="4"/>
        <v>3</v>
      </c>
      <c r="O79" s="4">
        <v>179.78</v>
      </c>
      <c r="P79" s="6">
        <v>0.1</v>
      </c>
      <c r="Q79" s="4">
        <v>485.41</v>
      </c>
      <c r="R79" s="4">
        <f t="shared" si="5"/>
        <v>485.41</v>
      </c>
      <c r="S79" s="4">
        <v>62.34</v>
      </c>
      <c r="T79" s="2" t="s">
        <v>29</v>
      </c>
      <c r="U79" s="2" t="s">
        <v>72</v>
      </c>
    </row>
    <row r="80" spans="1:21" x14ac:dyDescent="0.3">
      <c r="A80" s="2" t="s">
        <v>316</v>
      </c>
      <c r="B80" s="12">
        <v>45344</v>
      </c>
      <c r="C80" s="3" t="s">
        <v>281</v>
      </c>
      <c r="D80" s="2" t="s">
        <v>21</v>
      </c>
      <c r="E80" s="2" t="s">
        <v>22</v>
      </c>
      <c r="F80" s="2" t="s">
        <v>46</v>
      </c>
      <c r="G80" t="str">
        <f t="shared" si="3"/>
        <v>Central</v>
      </c>
      <c r="H80" s="2" t="s">
        <v>84</v>
      </c>
      <c r="I80" s="2" t="s">
        <v>85</v>
      </c>
      <c r="J80" s="2" t="s">
        <v>26</v>
      </c>
      <c r="K80" s="2" t="s">
        <v>70</v>
      </c>
      <c r="L80" s="2" t="s">
        <v>86</v>
      </c>
      <c r="M80" s="5">
        <v>6</v>
      </c>
      <c r="N80" s="5">
        <f t="shared" si="4"/>
        <v>6</v>
      </c>
      <c r="O80" s="4">
        <v>104.03</v>
      </c>
      <c r="P80" s="6">
        <v>0.15</v>
      </c>
      <c r="Q80" s="4">
        <v>530.54999999999995</v>
      </c>
      <c r="R80" s="4">
        <f t="shared" si="5"/>
        <v>530.54999999999995</v>
      </c>
      <c r="S80" s="4">
        <v>136.49</v>
      </c>
      <c r="T80" s="2" t="s">
        <v>41</v>
      </c>
      <c r="U80" s="2" t="s">
        <v>30</v>
      </c>
    </row>
    <row r="81" spans="1:21" x14ac:dyDescent="0.3">
      <c r="A81" s="2" t="s">
        <v>317</v>
      </c>
      <c r="B81" s="12">
        <v>45209</v>
      </c>
      <c r="C81" s="3" t="s">
        <v>319</v>
      </c>
      <c r="D81" s="2" t="s">
        <v>147</v>
      </c>
      <c r="E81" s="2" t="s">
        <v>45</v>
      </c>
      <c r="F81" s="2" t="s">
        <v>67</v>
      </c>
      <c r="G81" t="str">
        <f t="shared" si="3"/>
        <v>East</v>
      </c>
      <c r="H81" s="2" t="s">
        <v>68</v>
      </c>
      <c r="I81" s="2" t="s">
        <v>320</v>
      </c>
      <c r="J81" s="2" t="s">
        <v>78</v>
      </c>
      <c r="K81" s="2" t="s">
        <v>93</v>
      </c>
      <c r="L81" s="2" t="s">
        <v>94</v>
      </c>
      <c r="M81" s="5">
        <v>8</v>
      </c>
      <c r="N81" s="5">
        <f t="shared" si="4"/>
        <v>8</v>
      </c>
      <c r="O81" s="4">
        <v>48.52</v>
      </c>
      <c r="P81" s="6">
        <v>0.05</v>
      </c>
      <c r="Q81" s="4">
        <v>368.75</v>
      </c>
      <c r="R81" s="4">
        <f t="shared" si="5"/>
        <v>368.75</v>
      </c>
      <c r="S81" s="4">
        <v>42.47</v>
      </c>
      <c r="T81" s="2" t="s">
        <v>55</v>
      </c>
      <c r="U81" s="2" t="s">
        <v>30</v>
      </c>
    </row>
    <row r="82" spans="1:21" x14ac:dyDescent="0.3">
      <c r="A82" s="2" t="s">
        <v>321</v>
      </c>
      <c r="B82" s="12">
        <v>45139</v>
      </c>
      <c r="C82" s="3" t="s">
        <v>323</v>
      </c>
      <c r="D82" s="2" t="s">
        <v>91</v>
      </c>
      <c r="E82" s="2" t="s">
        <v>35</v>
      </c>
      <c r="F82" s="2" t="s">
        <v>67</v>
      </c>
      <c r="G82" t="str">
        <f t="shared" si="3"/>
        <v>East</v>
      </c>
      <c r="H82" s="2" t="s">
        <v>36</v>
      </c>
      <c r="I82" s="2" t="s">
        <v>54</v>
      </c>
      <c r="J82" s="2" t="s">
        <v>26</v>
      </c>
      <c r="K82" s="2" t="s">
        <v>70</v>
      </c>
      <c r="L82" s="2" t="s">
        <v>86</v>
      </c>
      <c r="M82" s="5">
        <v>4</v>
      </c>
      <c r="N82" s="5">
        <f t="shared" si="4"/>
        <v>4</v>
      </c>
      <c r="O82" s="4">
        <v>153.22</v>
      </c>
      <c r="P82" s="6">
        <v>0.05</v>
      </c>
      <c r="Q82" s="4">
        <v>582.24</v>
      </c>
      <c r="R82" s="4">
        <f t="shared" si="5"/>
        <v>582.24</v>
      </c>
      <c r="S82" s="4">
        <v>106.42</v>
      </c>
      <c r="T82" s="2" t="s">
        <v>41</v>
      </c>
      <c r="U82" s="2" t="s">
        <v>62</v>
      </c>
    </row>
    <row r="83" spans="1:21" x14ac:dyDescent="0.3">
      <c r="A83" s="2" t="s">
        <v>324</v>
      </c>
      <c r="B83" s="12">
        <v>45603</v>
      </c>
      <c r="C83" s="3" t="s">
        <v>326</v>
      </c>
      <c r="D83" s="2" t="s">
        <v>76</v>
      </c>
      <c r="E83" s="2" t="s">
        <v>45</v>
      </c>
      <c r="F83" s="2" t="s">
        <v>53</v>
      </c>
      <c r="G83" t="str">
        <f t="shared" si="3"/>
        <v>West</v>
      </c>
      <c r="H83" s="2" t="s">
        <v>24</v>
      </c>
      <c r="I83" s="2" t="s">
        <v>125</v>
      </c>
      <c r="J83" s="2" t="s">
        <v>38</v>
      </c>
      <c r="K83" s="2" t="s">
        <v>60</v>
      </c>
      <c r="L83" s="2" t="s">
        <v>116</v>
      </c>
      <c r="M83" s="5">
        <v>1</v>
      </c>
      <c r="N83" s="5">
        <f t="shared" si="4"/>
        <v>1</v>
      </c>
      <c r="O83" s="4">
        <v>166.34</v>
      </c>
      <c r="P83" s="6">
        <v>0.05</v>
      </c>
      <c r="Q83" s="4">
        <v>158.02000000000001</v>
      </c>
      <c r="R83" s="4">
        <f t="shared" si="5"/>
        <v>158.02000000000001</v>
      </c>
      <c r="S83" s="4">
        <v>14.36</v>
      </c>
      <c r="T83" s="2" t="s">
        <v>87</v>
      </c>
      <c r="U83" s="2" t="s">
        <v>30</v>
      </c>
    </row>
    <row r="84" spans="1:21" x14ac:dyDescent="0.3">
      <c r="A84" s="2" t="s">
        <v>327</v>
      </c>
      <c r="B84" s="12">
        <v>44992</v>
      </c>
      <c r="C84" s="3" t="s">
        <v>329</v>
      </c>
      <c r="D84" s="2" t="s">
        <v>147</v>
      </c>
      <c r="E84" s="2" t="s">
        <v>22</v>
      </c>
      <c r="F84" s="2" t="s">
        <v>46</v>
      </c>
      <c r="G84" t="str">
        <f t="shared" si="3"/>
        <v>Central</v>
      </c>
      <c r="H84" s="2" t="s">
        <v>47</v>
      </c>
      <c r="I84" s="2" t="s">
        <v>48</v>
      </c>
      <c r="J84" s="2" t="s">
        <v>26</v>
      </c>
      <c r="K84" s="2" t="s">
        <v>27</v>
      </c>
      <c r="L84" s="2" t="s">
        <v>179</v>
      </c>
      <c r="M84" s="5">
        <v>6</v>
      </c>
      <c r="N84" s="5">
        <f t="shared" si="4"/>
        <v>6</v>
      </c>
      <c r="O84" s="4">
        <v>234.85</v>
      </c>
      <c r="P84" s="6">
        <v>0</v>
      </c>
      <c r="Q84" s="4">
        <v>1409.1</v>
      </c>
      <c r="R84" s="4">
        <f t="shared" si="5"/>
        <v>1409.1</v>
      </c>
      <c r="S84" s="4">
        <v>39.35</v>
      </c>
      <c r="T84" s="2" t="s">
        <v>29</v>
      </c>
      <c r="U84" s="2" t="s">
        <v>30</v>
      </c>
    </row>
    <row r="85" spans="1:21" x14ac:dyDescent="0.3">
      <c r="A85" s="2" t="s">
        <v>330</v>
      </c>
      <c r="B85" s="12">
        <v>45338</v>
      </c>
      <c r="C85" s="3" t="s">
        <v>332</v>
      </c>
      <c r="D85" s="2" t="s">
        <v>66</v>
      </c>
      <c r="E85" s="2" t="s">
        <v>22</v>
      </c>
      <c r="F85" s="2" t="s">
        <v>67</v>
      </c>
      <c r="G85" t="str">
        <f t="shared" si="3"/>
        <v>East</v>
      </c>
      <c r="H85" s="2" t="s">
        <v>47</v>
      </c>
      <c r="I85" s="2" t="s">
        <v>164</v>
      </c>
      <c r="J85" s="2" t="s">
        <v>78</v>
      </c>
      <c r="K85" s="2" t="s">
        <v>93</v>
      </c>
      <c r="L85" s="2" t="s">
        <v>94</v>
      </c>
      <c r="M85" s="5">
        <v>2</v>
      </c>
      <c r="N85" s="5">
        <f t="shared" si="4"/>
        <v>2</v>
      </c>
      <c r="O85" s="4">
        <v>224.7</v>
      </c>
      <c r="P85" s="6">
        <v>0.15</v>
      </c>
      <c r="Q85" s="4">
        <v>381.99</v>
      </c>
      <c r="R85" s="4">
        <f t="shared" si="5"/>
        <v>381.99</v>
      </c>
      <c r="S85" s="4">
        <v>-55.84</v>
      </c>
      <c r="T85" s="2" t="s">
        <v>55</v>
      </c>
      <c r="U85" s="2" t="s">
        <v>56</v>
      </c>
    </row>
    <row r="86" spans="1:21" x14ac:dyDescent="0.3">
      <c r="A86" s="2" t="s">
        <v>333</v>
      </c>
      <c r="B86" s="12">
        <v>45575</v>
      </c>
      <c r="C86" s="3" t="s">
        <v>334</v>
      </c>
      <c r="D86" s="2" t="s">
        <v>34</v>
      </c>
      <c r="E86" s="2" t="s">
        <v>35</v>
      </c>
      <c r="F86" s="2" t="s">
        <v>53</v>
      </c>
      <c r="G86" t="str">
        <f t="shared" si="3"/>
        <v>West</v>
      </c>
      <c r="H86" s="2" t="s">
        <v>36</v>
      </c>
      <c r="I86" s="2" t="s">
        <v>37</v>
      </c>
      <c r="J86" s="2" t="s">
        <v>26</v>
      </c>
      <c r="K86" s="2" t="s">
        <v>70</v>
      </c>
      <c r="L86" s="2" t="s">
        <v>86</v>
      </c>
      <c r="M86" s="5">
        <v>6</v>
      </c>
      <c r="N86" s="5">
        <f t="shared" si="4"/>
        <v>6</v>
      </c>
      <c r="O86" s="4">
        <v>176.36</v>
      </c>
      <c r="P86" s="6">
        <v>0.2</v>
      </c>
      <c r="Q86" s="4">
        <v>846.53</v>
      </c>
      <c r="R86" s="4">
        <f t="shared" si="5"/>
        <v>846.53</v>
      </c>
      <c r="S86" s="4">
        <v>54.23</v>
      </c>
      <c r="T86" s="2" t="s">
        <v>55</v>
      </c>
      <c r="U86" s="2" t="s">
        <v>72</v>
      </c>
    </row>
    <row r="87" spans="1:21" x14ac:dyDescent="0.3">
      <c r="A87" s="2" t="s">
        <v>335</v>
      </c>
      <c r="B87" s="12">
        <v>45160</v>
      </c>
      <c r="C87" s="3" t="s">
        <v>138</v>
      </c>
      <c r="D87" s="2" t="s">
        <v>66</v>
      </c>
      <c r="E87" s="2" t="s">
        <v>22</v>
      </c>
      <c r="F87" s="2" t="s">
        <v>46</v>
      </c>
      <c r="G87" t="str">
        <f t="shared" si="3"/>
        <v>Central</v>
      </c>
      <c r="H87" s="2" t="s">
        <v>47</v>
      </c>
      <c r="I87" s="2" t="s">
        <v>48</v>
      </c>
      <c r="J87" s="2" t="s">
        <v>78</v>
      </c>
      <c r="K87" s="2" t="s">
        <v>93</v>
      </c>
      <c r="L87" s="2" t="s">
        <v>202</v>
      </c>
      <c r="M87" s="5">
        <v>8</v>
      </c>
      <c r="N87" s="5">
        <f t="shared" si="4"/>
        <v>8</v>
      </c>
      <c r="O87" s="4">
        <v>184.24</v>
      </c>
      <c r="P87" s="6">
        <v>0.3</v>
      </c>
      <c r="Q87" s="4">
        <v>1031.74</v>
      </c>
      <c r="R87" s="4">
        <f t="shared" si="5"/>
        <v>1031.74</v>
      </c>
      <c r="S87" s="4">
        <v>-140.59</v>
      </c>
      <c r="T87" s="2" t="s">
        <v>55</v>
      </c>
      <c r="U87" s="2" t="s">
        <v>72</v>
      </c>
    </row>
    <row r="88" spans="1:21" x14ac:dyDescent="0.3">
      <c r="A88" s="2" t="s">
        <v>336</v>
      </c>
      <c r="B88" s="12">
        <v>45020</v>
      </c>
      <c r="C88" s="3" t="s">
        <v>338</v>
      </c>
      <c r="D88" s="2" t="s">
        <v>147</v>
      </c>
      <c r="E88" s="2" t="s">
        <v>22</v>
      </c>
      <c r="F88" s="2" t="s">
        <v>46</v>
      </c>
      <c r="G88" t="str">
        <f t="shared" si="3"/>
        <v>Central</v>
      </c>
      <c r="H88" s="2" t="s">
        <v>24</v>
      </c>
      <c r="I88" s="2" t="s">
        <v>125</v>
      </c>
      <c r="J88" s="2" t="s">
        <v>38</v>
      </c>
      <c r="K88" s="2" t="s">
        <v>60</v>
      </c>
      <c r="L88" s="2" t="s">
        <v>61</v>
      </c>
      <c r="M88" s="5">
        <v>7</v>
      </c>
      <c r="N88" s="5">
        <f t="shared" si="4"/>
        <v>7</v>
      </c>
      <c r="O88" s="4">
        <v>50.68</v>
      </c>
      <c r="P88" s="6">
        <v>0.3</v>
      </c>
      <c r="Q88" s="4">
        <v>248.33</v>
      </c>
      <c r="R88" s="4">
        <f t="shared" si="5"/>
        <v>248.33</v>
      </c>
      <c r="S88" s="4">
        <v>-2.13</v>
      </c>
      <c r="T88" s="2" t="s">
        <v>29</v>
      </c>
      <c r="U88" s="2" t="s">
        <v>72</v>
      </c>
    </row>
    <row r="89" spans="1:21" x14ac:dyDescent="0.3">
      <c r="A89" s="2" t="s">
        <v>339</v>
      </c>
      <c r="B89" s="12">
        <v>45608</v>
      </c>
      <c r="C89" s="3" t="s">
        <v>185</v>
      </c>
      <c r="D89" s="2" t="s">
        <v>52</v>
      </c>
      <c r="E89" s="2" t="s">
        <v>35</v>
      </c>
      <c r="F89" s="2" t="s">
        <v>23</v>
      </c>
      <c r="G89" t="str">
        <f t="shared" si="3"/>
        <v>South</v>
      </c>
      <c r="H89" s="2" t="s">
        <v>47</v>
      </c>
      <c r="I89" s="2" t="s">
        <v>164</v>
      </c>
      <c r="J89" s="2" t="s">
        <v>78</v>
      </c>
      <c r="K89" s="2" t="s">
        <v>79</v>
      </c>
      <c r="L89" s="2" t="s">
        <v>80</v>
      </c>
      <c r="M89" s="5">
        <v>1</v>
      </c>
      <c r="N89" s="5">
        <f t="shared" si="4"/>
        <v>1</v>
      </c>
      <c r="O89" s="4">
        <v>436.03</v>
      </c>
      <c r="P89" s="6">
        <v>0.2</v>
      </c>
      <c r="Q89" s="4">
        <v>348.82</v>
      </c>
      <c r="R89" s="4">
        <f t="shared" si="5"/>
        <v>348.82</v>
      </c>
      <c r="S89" s="4">
        <v>-12.65</v>
      </c>
      <c r="T89" s="2" t="s">
        <v>29</v>
      </c>
      <c r="U89" s="2" t="s">
        <v>56</v>
      </c>
    </row>
    <row r="90" spans="1:21" x14ac:dyDescent="0.3">
      <c r="A90" s="2" t="s">
        <v>341</v>
      </c>
      <c r="B90" s="12">
        <v>45303</v>
      </c>
      <c r="C90" s="3" t="s">
        <v>342</v>
      </c>
      <c r="D90" s="2" t="s">
        <v>147</v>
      </c>
      <c r="E90" s="2" t="s">
        <v>22</v>
      </c>
      <c r="F90" s="2" t="s">
        <v>46</v>
      </c>
      <c r="G90" t="str">
        <f t="shared" si="3"/>
        <v>Central</v>
      </c>
      <c r="H90" s="2" t="s">
        <v>24</v>
      </c>
      <c r="I90" s="2" t="s">
        <v>59</v>
      </c>
      <c r="J90" s="2" t="s">
        <v>26</v>
      </c>
      <c r="K90" s="2" t="s">
        <v>70</v>
      </c>
      <c r="M90" s="5">
        <v>4</v>
      </c>
      <c r="N90" s="5">
        <f t="shared" si="4"/>
        <v>4</v>
      </c>
      <c r="O90" s="4">
        <v>364.79</v>
      </c>
      <c r="P90" s="6">
        <v>0.2</v>
      </c>
      <c r="Q90" s="4">
        <v>1167.33</v>
      </c>
      <c r="R90" s="4">
        <f t="shared" si="5"/>
        <v>1167.33</v>
      </c>
      <c r="S90" s="4">
        <v>313.18</v>
      </c>
      <c r="T90" s="2" t="s">
        <v>55</v>
      </c>
      <c r="U90" s="2" t="s">
        <v>56</v>
      </c>
    </row>
    <row r="91" spans="1:21" x14ac:dyDescent="0.3">
      <c r="A91" s="2" t="s">
        <v>343</v>
      </c>
      <c r="B91" s="12">
        <v>45243</v>
      </c>
      <c r="C91" s="3" t="s">
        <v>345</v>
      </c>
      <c r="D91" s="2" t="s">
        <v>21</v>
      </c>
      <c r="E91" s="2" t="s">
        <v>35</v>
      </c>
      <c r="F91" s="2" t="s">
        <v>53</v>
      </c>
      <c r="G91" t="str">
        <f t="shared" si="3"/>
        <v>West</v>
      </c>
      <c r="H91" s="2" t="s">
        <v>84</v>
      </c>
      <c r="I91" s="2" t="s">
        <v>131</v>
      </c>
      <c r="J91" s="2" t="s">
        <v>26</v>
      </c>
      <c r="K91" s="2" t="s">
        <v>27</v>
      </c>
      <c r="L91" s="2" t="s">
        <v>28</v>
      </c>
      <c r="M91" s="5">
        <v>1</v>
      </c>
      <c r="N91" s="5">
        <f t="shared" si="4"/>
        <v>1</v>
      </c>
      <c r="O91" s="4">
        <v>88.18</v>
      </c>
      <c r="P91" s="6">
        <v>0.05</v>
      </c>
      <c r="Q91" s="4">
        <v>83.77</v>
      </c>
      <c r="R91" s="4">
        <f t="shared" si="5"/>
        <v>83.77</v>
      </c>
      <c r="S91" s="4">
        <v>6.74</v>
      </c>
      <c r="T91" s="2" t="s">
        <v>55</v>
      </c>
      <c r="U91" s="2" t="s">
        <v>72</v>
      </c>
    </row>
    <row r="92" spans="1:21" x14ac:dyDescent="0.3">
      <c r="A92" s="2" t="s">
        <v>346</v>
      </c>
      <c r="B92" s="12">
        <v>45391</v>
      </c>
      <c r="C92" s="3" t="s">
        <v>97</v>
      </c>
      <c r="D92" s="2" t="s">
        <v>147</v>
      </c>
      <c r="E92" s="2" t="s">
        <v>35</v>
      </c>
      <c r="F92" s="2" t="s">
        <v>67</v>
      </c>
      <c r="G92" t="str">
        <f t="shared" si="3"/>
        <v>East</v>
      </c>
      <c r="H92" s="2" t="s">
        <v>84</v>
      </c>
      <c r="I92" s="2" t="s">
        <v>85</v>
      </c>
      <c r="J92" s="2" t="s">
        <v>78</v>
      </c>
      <c r="K92" s="2" t="s">
        <v>93</v>
      </c>
      <c r="L92" s="2" t="s">
        <v>110</v>
      </c>
      <c r="M92" s="5">
        <v>6</v>
      </c>
      <c r="N92" s="5">
        <f t="shared" si="4"/>
        <v>6</v>
      </c>
      <c r="O92" s="4">
        <v>145.74</v>
      </c>
      <c r="P92" s="6">
        <v>0.1</v>
      </c>
      <c r="Q92" s="4">
        <v>787</v>
      </c>
      <c r="R92" s="4">
        <f t="shared" si="5"/>
        <v>787</v>
      </c>
      <c r="S92" s="4">
        <v>139.57</v>
      </c>
      <c r="T92" s="2" t="s">
        <v>29</v>
      </c>
      <c r="U92" s="2" t="s">
        <v>30</v>
      </c>
    </row>
    <row r="93" spans="1:21" x14ac:dyDescent="0.3">
      <c r="A93" s="2" t="s">
        <v>347</v>
      </c>
      <c r="B93" s="12">
        <v>45380</v>
      </c>
      <c r="C93" s="3" t="s">
        <v>348</v>
      </c>
      <c r="D93" s="2" t="s">
        <v>21</v>
      </c>
      <c r="E93" s="2" t="s">
        <v>349</v>
      </c>
      <c r="F93" s="2" t="s">
        <v>23</v>
      </c>
      <c r="G93" t="str">
        <f t="shared" si="3"/>
        <v>South</v>
      </c>
      <c r="H93" s="2" t="s">
        <v>108</v>
      </c>
      <c r="I93" s="2" t="s">
        <v>109</v>
      </c>
      <c r="J93" s="2" t="s">
        <v>78</v>
      </c>
      <c r="K93" s="2" t="s">
        <v>79</v>
      </c>
      <c r="L93" s="2" t="s">
        <v>80</v>
      </c>
      <c r="M93" s="5">
        <v>8</v>
      </c>
      <c r="N93" s="5">
        <f t="shared" si="4"/>
        <v>8</v>
      </c>
      <c r="O93" s="4">
        <v>276.33</v>
      </c>
      <c r="P93" s="6">
        <v>0.15</v>
      </c>
      <c r="Q93" s="4">
        <v>1879.04</v>
      </c>
      <c r="R93" s="4">
        <f t="shared" si="5"/>
        <v>1879.04</v>
      </c>
      <c r="S93" s="4">
        <v>-102.11</v>
      </c>
      <c r="T93" s="2" t="s">
        <v>41</v>
      </c>
      <c r="U93" s="2" t="s">
        <v>72</v>
      </c>
    </row>
    <row r="94" spans="1:21" x14ac:dyDescent="0.3">
      <c r="A94" s="2" t="s">
        <v>350</v>
      </c>
      <c r="B94" s="12">
        <v>45610</v>
      </c>
      <c r="C94" s="3" t="s">
        <v>106</v>
      </c>
      <c r="D94" s="2" t="s">
        <v>91</v>
      </c>
      <c r="E94" s="2" t="s">
        <v>35</v>
      </c>
      <c r="F94" s="2" t="s">
        <v>67</v>
      </c>
      <c r="G94" t="str">
        <f t="shared" si="3"/>
        <v>East</v>
      </c>
      <c r="H94" s="2" t="s">
        <v>84</v>
      </c>
      <c r="I94" s="2" t="s">
        <v>85</v>
      </c>
      <c r="J94" s="2" t="s">
        <v>26</v>
      </c>
      <c r="K94" s="2" t="s">
        <v>70</v>
      </c>
      <c r="L94" s="2" t="s">
        <v>222</v>
      </c>
      <c r="M94" s="5">
        <v>4</v>
      </c>
      <c r="N94" s="5">
        <f t="shared" si="4"/>
        <v>4</v>
      </c>
      <c r="O94" s="4">
        <v>182.71</v>
      </c>
      <c r="P94" s="6">
        <v>0.2</v>
      </c>
      <c r="Q94" s="4">
        <v>584.66999999999996</v>
      </c>
      <c r="R94" s="4">
        <f t="shared" si="5"/>
        <v>584.66999999999996</v>
      </c>
      <c r="S94" s="4">
        <v>-90.51</v>
      </c>
      <c r="T94" s="2" t="s">
        <v>41</v>
      </c>
      <c r="U94" s="2" t="s">
        <v>56</v>
      </c>
    </row>
    <row r="95" spans="1:21" x14ac:dyDescent="0.3">
      <c r="A95" s="2" t="s">
        <v>351</v>
      </c>
      <c r="B95" s="12">
        <v>44934</v>
      </c>
      <c r="C95" s="3" t="s">
        <v>353</v>
      </c>
      <c r="D95" s="2" t="s">
        <v>66</v>
      </c>
      <c r="E95" s="2" t="s">
        <v>35</v>
      </c>
      <c r="F95" s="2" t="s">
        <v>23</v>
      </c>
      <c r="G95" t="str">
        <f t="shared" si="3"/>
        <v>South</v>
      </c>
      <c r="H95" s="2" t="s">
        <v>47</v>
      </c>
      <c r="I95" s="2" t="s">
        <v>164</v>
      </c>
      <c r="J95" s="2" t="s">
        <v>38</v>
      </c>
      <c r="K95" s="2" t="s">
        <v>60</v>
      </c>
      <c r="L95" s="2" t="s">
        <v>61</v>
      </c>
      <c r="M95" s="5">
        <v>7</v>
      </c>
      <c r="N95" s="5">
        <f t="shared" si="4"/>
        <v>7</v>
      </c>
      <c r="O95" s="4">
        <v>85.66</v>
      </c>
      <c r="P95" s="6">
        <v>0.15</v>
      </c>
      <c r="Q95" s="4">
        <v>509.68</v>
      </c>
      <c r="R95" s="4">
        <f t="shared" si="5"/>
        <v>509.68</v>
      </c>
      <c r="S95" s="4">
        <v>33.119999999999997</v>
      </c>
      <c r="T95" s="2" t="s">
        <v>29</v>
      </c>
      <c r="U95" s="2" t="s">
        <v>72</v>
      </c>
    </row>
    <row r="96" spans="1:21" x14ac:dyDescent="0.3">
      <c r="A96" s="2" t="s">
        <v>354</v>
      </c>
      <c r="B96" s="12">
        <v>45397</v>
      </c>
      <c r="C96" s="3" t="s">
        <v>355</v>
      </c>
      <c r="D96" s="2" t="s">
        <v>21</v>
      </c>
      <c r="E96" s="2" t="s">
        <v>45</v>
      </c>
      <c r="F96" s="2" t="s">
        <v>53</v>
      </c>
      <c r="G96" t="str">
        <f t="shared" si="3"/>
        <v>West</v>
      </c>
      <c r="H96" s="2" t="s">
        <v>24</v>
      </c>
      <c r="I96" s="2" t="s">
        <v>59</v>
      </c>
      <c r="J96" s="2" t="s">
        <v>38</v>
      </c>
      <c r="K96" s="2" t="s">
        <v>60</v>
      </c>
      <c r="L96" s="2" t="s">
        <v>132</v>
      </c>
      <c r="M96" s="5">
        <v>7</v>
      </c>
      <c r="N96" s="5">
        <f t="shared" si="4"/>
        <v>7</v>
      </c>
      <c r="O96" s="4">
        <v>261.44</v>
      </c>
      <c r="P96" s="6">
        <v>0.3</v>
      </c>
      <c r="Q96" s="4">
        <v>1281.06</v>
      </c>
      <c r="R96" s="4">
        <f t="shared" si="5"/>
        <v>1281.06</v>
      </c>
      <c r="S96" s="4">
        <v>146.63999999999999</v>
      </c>
      <c r="T96" s="2" t="s">
        <v>55</v>
      </c>
      <c r="U96" s="2" t="s">
        <v>72</v>
      </c>
    </row>
    <row r="97" spans="1:21" x14ac:dyDescent="0.3">
      <c r="A97" s="2" t="s">
        <v>356</v>
      </c>
      <c r="B97" s="12">
        <v>45297</v>
      </c>
      <c r="C97" s="3" t="s">
        <v>358</v>
      </c>
      <c r="D97" s="2" t="s">
        <v>34</v>
      </c>
      <c r="E97" s="2" t="s">
        <v>45</v>
      </c>
      <c r="F97" s="2" t="s">
        <v>46</v>
      </c>
      <c r="G97" t="str">
        <f t="shared" si="3"/>
        <v>Central</v>
      </c>
      <c r="H97" s="2" t="s">
        <v>24</v>
      </c>
      <c r="I97" s="2" t="s">
        <v>59</v>
      </c>
      <c r="J97" s="2" t="s">
        <v>26</v>
      </c>
      <c r="K97" s="2" t="s">
        <v>27</v>
      </c>
      <c r="L97" s="2" t="s">
        <v>28</v>
      </c>
      <c r="M97" s="5">
        <v>2</v>
      </c>
      <c r="N97" s="5">
        <f t="shared" si="4"/>
        <v>2</v>
      </c>
      <c r="O97" s="4">
        <v>115.55</v>
      </c>
      <c r="P97" s="6">
        <v>0.2</v>
      </c>
      <c r="Q97" s="4">
        <v>184.88</v>
      </c>
      <c r="R97" s="4">
        <f t="shared" si="5"/>
        <v>184.88</v>
      </c>
      <c r="S97" s="4">
        <v>0.78</v>
      </c>
      <c r="T97" s="2" t="s">
        <v>41</v>
      </c>
      <c r="U97" s="2" t="s">
        <v>62</v>
      </c>
    </row>
    <row r="98" spans="1:21" x14ac:dyDescent="0.3">
      <c r="A98" s="2" t="s">
        <v>359</v>
      </c>
      <c r="B98" s="12">
        <v>45449</v>
      </c>
      <c r="C98" s="3" t="s">
        <v>361</v>
      </c>
      <c r="D98" s="2" t="s">
        <v>52</v>
      </c>
      <c r="E98" s="2" t="s">
        <v>35</v>
      </c>
      <c r="F98" s="2" t="s">
        <v>67</v>
      </c>
      <c r="G98" t="str">
        <f t="shared" si="3"/>
        <v>East</v>
      </c>
      <c r="H98" s="2" t="s">
        <v>108</v>
      </c>
      <c r="I98" s="2" t="s">
        <v>157</v>
      </c>
      <c r="J98" s="2" t="s">
        <v>38</v>
      </c>
      <c r="K98" s="2" t="s">
        <v>60</v>
      </c>
      <c r="L98" s="2" t="s">
        <v>132</v>
      </c>
      <c r="M98" s="5">
        <v>4</v>
      </c>
      <c r="N98" s="5">
        <f t="shared" si="4"/>
        <v>4</v>
      </c>
      <c r="O98" s="4">
        <v>408.42</v>
      </c>
      <c r="P98" s="6">
        <v>0.1</v>
      </c>
      <c r="Q98" s="4">
        <v>1470.31</v>
      </c>
      <c r="R98" s="4">
        <f t="shared" si="5"/>
        <v>1470.31</v>
      </c>
      <c r="S98" s="4">
        <v>-27.19</v>
      </c>
      <c r="T98" s="2" t="s">
        <v>55</v>
      </c>
      <c r="U98" s="2" t="s">
        <v>62</v>
      </c>
    </row>
    <row r="99" spans="1:21" x14ac:dyDescent="0.3">
      <c r="A99" s="2" t="s">
        <v>362</v>
      </c>
      <c r="B99" s="12">
        <v>45083</v>
      </c>
      <c r="C99" s="3" t="s">
        <v>364</v>
      </c>
      <c r="D99" s="2" t="s">
        <v>66</v>
      </c>
      <c r="E99" s="2" t="s">
        <v>22</v>
      </c>
      <c r="F99" s="2" t="s">
        <v>46</v>
      </c>
      <c r="G99" t="str">
        <f t="shared" si="3"/>
        <v>Central</v>
      </c>
      <c r="H99" s="2" t="s">
        <v>108</v>
      </c>
      <c r="I99" s="2" t="s">
        <v>157</v>
      </c>
      <c r="J99" s="2" t="s">
        <v>26</v>
      </c>
      <c r="K99" s="2" t="s">
        <v>70</v>
      </c>
      <c r="L99" s="2" t="s">
        <v>71</v>
      </c>
      <c r="M99" s="5">
        <v>3</v>
      </c>
      <c r="N99" s="5">
        <f t="shared" si="4"/>
        <v>3</v>
      </c>
      <c r="O99" s="4">
        <v>428.47</v>
      </c>
      <c r="P99" s="6">
        <v>0.3</v>
      </c>
      <c r="Q99" s="4">
        <v>899.79</v>
      </c>
      <c r="R99" s="4">
        <f t="shared" si="5"/>
        <v>899.79</v>
      </c>
      <c r="S99" s="4">
        <v>42.55</v>
      </c>
      <c r="T99" s="2" t="s">
        <v>87</v>
      </c>
      <c r="U99" s="2" t="s">
        <v>30</v>
      </c>
    </row>
    <row r="100" spans="1:21" x14ac:dyDescent="0.3">
      <c r="A100" s="2" t="s">
        <v>365</v>
      </c>
      <c r="B100" s="12">
        <v>45379</v>
      </c>
      <c r="C100" s="3" t="s">
        <v>367</v>
      </c>
      <c r="D100" s="2" t="s">
        <v>120</v>
      </c>
      <c r="E100" s="2" t="s">
        <v>45</v>
      </c>
      <c r="F100" s="2" t="s">
        <v>53</v>
      </c>
      <c r="G100" t="str">
        <f t="shared" si="3"/>
        <v>West</v>
      </c>
      <c r="H100" s="2" t="s">
        <v>108</v>
      </c>
      <c r="I100" s="2" t="s">
        <v>109</v>
      </c>
      <c r="J100" s="2" t="s">
        <v>78</v>
      </c>
      <c r="K100" s="2" t="s">
        <v>93</v>
      </c>
      <c r="L100" s="2" t="s">
        <v>94</v>
      </c>
      <c r="M100" s="5">
        <v>5</v>
      </c>
      <c r="N100" s="5">
        <f t="shared" si="4"/>
        <v>5</v>
      </c>
      <c r="O100" s="4">
        <v>269.41000000000003</v>
      </c>
      <c r="P100" s="6">
        <v>0.1</v>
      </c>
      <c r="Q100" s="4">
        <v>1212.3499999999999</v>
      </c>
      <c r="R100" s="4">
        <f t="shared" si="5"/>
        <v>1212.3499999999999</v>
      </c>
      <c r="S100" s="4">
        <v>64.709999999999994</v>
      </c>
      <c r="T100" s="2" t="s">
        <v>41</v>
      </c>
      <c r="U100" s="2" t="s">
        <v>56</v>
      </c>
    </row>
    <row r="101" spans="1:21" x14ac:dyDescent="0.3">
      <c r="A101" s="2" t="s">
        <v>368</v>
      </c>
      <c r="B101" s="12">
        <v>45587</v>
      </c>
      <c r="C101" s="3" t="s">
        <v>370</v>
      </c>
      <c r="D101" s="2" t="s">
        <v>120</v>
      </c>
      <c r="E101" s="2" t="s">
        <v>22</v>
      </c>
      <c r="F101" s="2" t="s">
        <v>67</v>
      </c>
      <c r="G101" t="str">
        <f t="shared" si="3"/>
        <v>East</v>
      </c>
      <c r="H101" s="2" t="s">
        <v>24</v>
      </c>
      <c r="I101" s="2" t="s">
        <v>25</v>
      </c>
      <c r="J101" s="2" t="s">
        <v>38</v>
      </c>
      <c r="K101" s="2" t="s">
        <v>60</v>
      </c>
      <c r="L101" s="2" t="s">
        <v>132</v>
      </c>
      <c r="M101" s="5">
        <v>7</v>
      </c>
      <c r="N101" s="5">
        <f t="shared" si="4"/>
        <v>7</v>
      </c>
      <c r="O101" s="4">
        <v>212.52</v>
      </c>
      <c r="P101" s="6">
        <v>0.2</v>
      </c>
      <c r="Q101" s="4">
        <v>1190.1099999999999</v>
      </c>
      <c r="R101" s="4">
        <f t="shared" si="5"/>
        <v>1190.1099999999999</v>
      </c>
      <c r="S101" s="4">
        <v>308.17</v>
      </c>
      <c r="T101" s="2" t="s">
        <v>87</v>
      </c>
      <c r="U101" s="2" t="s">
        <v>62</v>
      </c>
    </row>
    <row r="102" spans="1:21" x14ac:dyDescent="0.3">
      <c r="A102" s="2" t="s">
        <v>371</v>
      </c>
      <c r="B102" s="12">
        <v>45388</v>
      </c>
      <c r="C102" s="3" t="s">
        <v>373</v>
      </c>
      <c r="D102" s="2" t="s">
        <v>120</v>
      </c>
      <c r="E102" s="2" t="s">
        <v>22</v>
      </c>
      <c r="F102" s="2" t="s">
        <v>67</v>
      </c>
      <c r="G102" t="str">
        <f t="shared" si="3"/>
        <v>East</v>
      </c>
      <c r="H102" s="2" t="s">
        <v>24</v>
      </c>
      <c r="I102" s="2" t="s">
        <v>59</v>
      </c>
      <c r="J102" s="2" t="s">
        <v>38</v>
      </c>
      <c r="K102" s="2" t="s">
        <v>60</v>
      </c>
      <c r="L102" s="2" t="s">
        <v>132</v>
      </c>
      <c r="M102" s="5">
        <v>2</v>
      </c>
      <c r="N102" s="5">
        <f t="shared" si="4"/>
        <v>2</v>
      </c>
      <c r="O102" s="4">
        <v>231.01</v>
      </c>
      <c r="P102" s="6">
        <v>0.05</v>
      </c>
      <c r="Q102" s="4">
        <v>438.92</v>
      </c>
      <c r="R102" s="4">
        <f t="shared" si="5"/>
        <v>438.92</v>
      </c>
      <c r="S102" s="4">
        <v>-71.099999999999994</v>
      </c>
      <c r="T102" s="2" t="s">
        <v>41</v>
      </c>
      <c r="U102" s="2" t="s">
        <v>56</v>
      </c>
    </row>
    <row r="103" spans="1:21" x14ac:dyDescent="0.3">
      <c r="A103" s="2" t="s">
        <v>374</v>
      </c>
      <c r="B103" s="12">
        <v>45345</v>
      </c>
      <c r="C103" s="3" t="s">
        <v>200</v>
      </c>
      <c r="D103" s="2" t="s">
        <v>21</v>
      </c>
      <c r="E103" s="2" t="s">
        <v>22</v>
      </c>
      <c r="F103" s="2" t="s">
        <v>23</v>
      </c>
      <c r="G103" t="str">
        <f t="shared" si="3"/>
        <v>South</v>
      </c>
      <c r="H103" s="2" t="s">
        <v>84</v>
      </c>
      <c r="I103" s="2" t="s">
        <v>201</v>
      </c>
      <c r="J103" s="2" t="s">
        <v>78</v>
      </c>
      <c r="K103" s="2" t="s">
        <v>93</v>
      </c>
      <c r="L103" s="2" t="s">
        <v>202</v>
      </c>
      <c r="M103" s="5">
        <v>1</v>
      </c>
      <c r="N103" s="5">
        <f t="shared" si="4"/>
        <v>1</v>
      </c>
      <c r="O103" s="4">
        <v>356.84</v>
      </c>
      <c r="P103" s="6">
        <v>0.3</v>
      </c>
      <c r="Q103" s="4">
        <v>249.79</v>
      </c>
      <c r="R103" s="4">
        <f t="shared" si="5"/>
        <v>249.79</v>
      </c>
      <c r="S103" s="4">
        <v>-6.51</v>
      </c>
      <c r="T103" s="2" t="s">
        <v>41</v>
      </c>
      <c r="U103" s="2" t="s">
        <v>62</v>
      </c>
    </row>
    <row r="104" spans="1:21" x14ac:dyDescent="0.3">
      <c r="A104" s="2" t="s">
        <v>375</v>
      </c>
      <c r="B104" s="12">
        <v>45010</v>
      </c>
      <c r="C104" s="3" t="s">
        <v>377</v>
      </c>
      <c r="D104" s="2" t="s">
        <v>76</v>
      </c>
      <c r="E104" s="2" t="s">
        <v>22</v>
      </c>
      <c r="F104" s="2" t="s">
        <v>53</v>
      </c>
      <c r="G104" t="str">
        <f t="shared" si="3"/>
        <v>West</v>
      </c>
      <c r="H104" s="2" t="s">
        <v>36</v>
      </c>
      <c r="I104" s="2" t="s">
        <v>37</v>
      </c>
      <c r="J104" s="2" t="s">
        <v>78</v>
      </c>
      <c r="K104" s="2" t="s">
        <v>79</v>
      </c>
      <c r="L104" s="2" t="s">
        <v>378</v>
      </c>
      <c r="M104" s="5">
        <v>3</v>
      </c>
      <c r="N104" s="5">
        <f t="shared" si="4"/>
        <v>3</v>
      </c>
      <c r="O104" s="4">
        <v>413.2</v>
      </c>
      <c r="P104" s="6">
        <v>0.1</v>
      </c>
      <c r="Q104" s="4">
        <v>1115.6400000000001</v>
      </c>
      <c r="R104" s="4">
        <f t="shared" si="5"/>
        <v>1115.6400000000001</v>
      </c>
      <c r="S104" s="4">
        <v>295.8</v>
      </c>
      <c r="T104" s="2" t="s">
        <v>87</v>
      </c>
      <c r="U104" s="2" t="s">
        <v>56</v>
      </c>
    </row>
    <row r="105" spans="1:21" x14ac:dyDescent="0.3">
      <c r="A105" s="2" t="s">
        <v>379</v>
      </c>
      <c r="B105" s="12">
        <v>45613</v>
      </c>
      <c r="C105" s="3" t="s">
        <v>106</v>
      </c>
      <c r="D105" s="2" t="s">
        <v>66</v>
      </c>
      <c r="E105" s="2" t="s">
        <v>45</v>
      </c>
      <c r="F105" s="2" t="s">
        <v>67</v>
      </c>
      <c r="G105" t="str">
        <f t="shared" si="3"/>
        <v>East</v>
      </c>
      <c r="H105" s="2" t="s">
        <v>108</v>
      </c>
      <c r="I105" s="2" t="s">
        <v>115</v>
      </c>
      <c r="J105" s="2" t="s">
        <v>38</v>
      </c>
      <c r="K105" s="2" t="s">
        <v>39</v>
      </c>
      <c r="L105" s="2" t="s">
        <v>98</v>
      </c>
      <c r="M105" s="5">
        <v>2</v>
      </c>
      <c r="N105" s="5">
        <f t="shared" si="4"/>
        <v>2</v>
      </c>
      <c r="O105" s="4">
        <v>293.54000000000002</v>
      </c>
      <c r="P105" s="6">
        <v>0.15</v>
      </c>
      <c r="Q105" s="4">
        <v>499.02</v>
      </c>
      <c r="R105" s="4">
        <f t="shared" si="5"/>
        <v>499.02</v>
      </c>
      <c r="S105" s="4">
        <v>26.9</v>
      </c>
      <c r="T105" s="2" t="s">
        <v>41</v>
      </c>
      <c r="U105" s="2" t="s">
        <v>72</v>
      </c>
    </row>
    <row r="106" spans="1:21" x14ac:dyDescent="0.3">
      <c r="A106" s="2" t="s">
        <v>381</v>
      </c>
      <c r="C106" s="3" t="s">
        <v>138</v>
      </c>
      <c r="D106" s="2" t="s">
        <v>147</v>
      </c>
      <c r="E106" s="2" t="s">
        <v>22</v>
      </c>
      <c r="F106" s="2" t="s">
        <v>46</v>
      </c>
      <c r="G106" t="str">
        <f t="shared" si="3"/>
        <v>Central</v>
      </c>
      <c r="H106" s="2" t="s">
        <v>68</v>
      </c>
      <c r="I106" s="2" t="s">
        <v>320</v>
      </c>
      <c r="J106" s="2" t="s">
        <v>38</v>
      </c>
      <c r="K106" s="2" t="s">
        <v>39</v>
      </c>
      <c r="L106" s="2" t="s">
        <v>40</v>
      </c>
      <c r="M106" s="5">
        <v>2</v>
      </c>
      <c r="N106" s="5">
        <f t="shared" si="4"/>
        <v>2</v>
      </c>
      <c r="O106" s="4">
        <v>138.74</v>
      </c>
      <c r="P106" s="6">
        <v>0</v>
      </c>
      <c r="Q106" s="4">
        <v>277.48</v>
      </c>
      <c r="R106" s="4">
        <f t="shared" si="5"/>
        <v>277.48</v>
      </c>
      <c r="S106" s="4">
        <v>14.86</v>
      </c>
      <c r="T106" s="2" t="s">
        <v>55</v>
      </c>
      <c r="U106" s="2" t="s">
        <v>72</v>
      </c>
    </row>
    <row r="107" spans="1:21" x14ac:dyDescent="0.3">
      <c r="A107" s="2" t="s">
        <v>383</v>
      </c>
      <c r="B107" s="12">
        <v>45093</v>
      </c>
      <c r="C107" s="3" t="s">
        <v>385</v>
      </c>
      <c r="D107" s="2" t="s">
        <v>120</v>
      </c>
      <c r="E107" s="2" t="s">
        <v>22</v>
      </c>
      <c r="F107" s="2" t="s">
        <v>46</v>
      </c>
      <c r="G107" t="str">
        <f t="shared" si="3"/>
        <v>Central</v>
      </c>
      <c r="H107" s="2" t="s">
        <v>68</v>
      </c>
      <c r="I107" s="2" t="s">
        <v>77</v>
      </c>
      <c r="J107" s="2" t="s">
        <v>38</v>
      </c>
      <c r="K107" s="2" t="s">
        <v>39</v>
      </c>
      <c r="L107" s="2" t="s">
        <v>40</v>
      </c>
      <c r="M107" s="5">
        <v>3</v>
      </c>
      <c r="N107" s="5">
        <f t="shared" si="4"/>
        <v>3</v>
      </c>
      <c r="O107" s="4">
        <v>326.76</v>
      </c>
      <c r="P107" s="6">
        <v>0</v>
      </c>
      <c r="Q107" s="4">
        <v>980.28</v>
      </c>
      <c r="R107" s="4">
        <f t="shared" si="5"/>
        <v>980.28</v>
      </c>
      <c r="S107" s="4">
        <v>8.82</v>
      </c>
      <c r="T107" s="2" t="s">
        <v>87</v>
      </c>
      <c r="U107" s="2" t="s">
        <v>62</v>
      </c>
    </row>
    <row r="108" spans="1:21" x14ac:dyDescent="0.3">
      <c r="A108" s="2" t="s">
        <v>386</v>
      </c>
      <c r="B108" s="12">
        <v>45171</v>
      </c>
      <c r="C108" s="3" t="s">
        <v>387</v>
      </c>
      <c r="D108" s="2" t="s">
        <v>91</v>
      </c>
      <c r="E108" s="2" t="s">
        <v>45</v>
      </c>
      <c r="F108" s="2" t="s">
        <v>23</v>
      </c>
      <c r="G108" t="str">
        <f t="shared" si="3"/>
        <v>South</v>
      </c>
      <c r="H108" s="2" t="s">
        <v>84</v>
      </c>
      <c r="I108" s="2" t="s">
        <v>131</v>
      </c>
      <c r="J108" s="2" t="s">
        <v>26</v>
      </c>
      <c r="K108" s="2" t="s">
        <v>70</v>
      </c>
      <c r="L108" s="2" t="s">
        <v>71</v>
      </c>
      <c r="M108" s="5">
        <v>4</v>
      </c>
      <c r="N108" s="5">
        <f t="shared" si="4"/>
        <v>4</v>
      </c>
      <c r="O108" s="4">
        <v>170.59</v>
      </c>
      <c r="P108" s="6">
        <v>0.2</v>
      </c>
      <c r="Q108" s="4">
        <v>545.89</v>
      </c>
      <c r="R108" s="4">
        <f t="shared" si="5"/>
        <v>545.89</v>
      </c>
      <c r="S108" s="4">
        <v>148.94</v>
      </c>
      <c r="T108" s="2" t="s">
        <v>55</v>
      </c>
      <c r="U108" s="2" t="s">
        <v>62</v>
      </c>
    </row>
    <row r="109" spans="1:21" x14ac:dyDescent="0.3">
      <c r="A109" s="2" t="s">
        <v>388</v>
      </c>
      <c r="B109" s="12">
        <v>44980</v>
      </c>
      <c r="C109" s="3" t="s">
        <v>390</v>
      </c>
      <c r="D109" s="2" t="s">
        <v>21</v>
      </c>
      <c r="E109" s="2" t="s">
        <v>45</v>
      </c>
      <c r="F109" s="2" t="s">
        <v>53</v>
      </c>
      <c r="G109" t="str">
        <f t="shared" si="3"/>
        <v>West</v>
      </c>
      <c r="H109" s="2" t="s">
        <v>108</v>
      </c>
      <c r="I109" s="2" t="s">
        <v>109</v>
      </c>
      <c r="J109" s="2" t="s">
        <v>78</v>
      </c>
      <c r="K109" s="2" t="s">
        <v>79</v>
      </c>
      <c r="L109" s="2" t="s">
        <v>80</v>
      </c>
      <c r="M109" s="5">
        <v>6</v>
      </c>
      <c r="N109" s="5">
        <f t="shared" si="4"/>
        <v>6</v>
      </c>
      <c r="O109" s="4">
        <v>253.11</v>
      </c>
      <c r="P109" s="6">
        <v>0</v>
      </c>
      <c r="Q109" s="4">
        <v>1518.66</v>
      </c>
      <c r="R109" s="4">
        <f t="shared" si="5"/>
        <v>1518.66</v>
      </c>
      <c r="S109" s="4">
        <v>223.61</v>
      </c>
      <c r="T109" s="2" t="s">
        <v>41</v>
      </c>
      <c r="U109" s="2" t="s">
        <v>72</v>
      </c>
    </row>
    <row r="110" spans="1:21" x14ac:dyDescent="0.3">
      <c r="A110" s="2" t="s">
        <v>391</v>
      </c>
      <c r="B110" s="12">
        <v>45077</v>
      </c>
      <c r="C110" s="3" t="s">
        <v>393</v>
      </c>
      <c r="D110" s="2" t="s">
        <v>147</v>
      </c>
      <c r="E110" s="2" t="s">
        <v>45</v>
      </c>
      <c r="F110" s="2" t="s">
        <v>46</v>
      </c>
      <c r="G110" t="str">
        <f t="shared" si="3"/>
        <v>Central</v>
      </c>
      <c r="H110" s="2" t="s">
        <v>47</v>
      </c>
      <c r="I110" s="2" t="s">
        <v>121</v>
      </c>
      <c r="J110" s="2" t="s">
        <v>26</v>
      </c>
      <c r="K110" s="2" t="s">
        <v>70</v>
      </c>
      <c r="L110" s="2" t="s">
        <v>71</v>
      </c>
      <c r="M110" s="5">
        <v>4</v>
      </c>
      <c r="N110" s="5">
        <f t="shared" si="4"/>
        <v>4</v>
      </c>
      <c r="O110" s="4">
        <v>368.98</v>
      </c>
      <c r="P110" s="6">
        <v>0.1</v>
      </c>
      <c r="Q110" s="4">
        <v>1328.33</v>
      </c>
      <c r="R110" s="4">
        <f t="shared" si="5"/>
        <v>1328.33</v>
      </c>
      <c r="S110" s="4">
        <v>329.45</v>
      </c>
      <c r="T110" s="2" t="s">
        <v>87</v>
      </c>
      <c r="U110" s="2" t="s">
        <v>30</v>
      </c>
    </row>
    <row r="111" spans="1:21" x14ac:dyDescent="0.3">
      <c r="A111" s="2" t="s">
        <v>394</v>
      </c>
      <c r="B111" s="12">
        <v>45156</v>
      </c>
      <c r="C111" s="3" t="s">
        <v>396</v>
      </c>
      <c r="D111" s="2" t="s">
        <v>76</v>
      </c>
      <c r="E111" s="2" t="s">
        <v>35</v>
      </c>
      <c r="F111" s="2" t="s">
        <v>46</v>
      </c>
      <c r="G111" t="str">
        <f t="shared" si="3"/>
        <v>Central</v>
      </c>
      <c r="H111" s="2" t="s">
        <v>24</v>
      </c>
      <c r="I111" s="2" t="s">
        <v>59</v>
      </c>
      <c r="J111" s="2" t="s">
        <v>78</v>
      </c>
      <c r="K111" s="2" t="s">
        <v>79</v>
      </c>
      <c r="L111" s="2" t="s">
        <v>378</v>
      </c>
      <c r="M111" s="5">
        <v>2</v>
      </c>
      <c r="N111" s="5">
        <f t="shared" si="4"/>
        <v>2</v>
      </c>
      <c r="O111" s="4">
        <v>378.92</v>
      </c>
      <c r="P111" s="6">
        <v>0.3</v>
      </c>
      <c r="Q111" s="4">
        <v>530.49</v>
      </c>
      <c r="R111" s="4">
        <f t="shared" si="5"/>
        <v>530.49</v>
      </c>
      <c r="S111" s="4">
        <v>-13.67</v>
      </c>
      <c r="T111" s="2" t="s">
        <v>55</v>
      </c>
      <c r="U111" s="2" t="s">
        <v>72</v>
      </c>
    </row>
    <row r="112" spans="1:21" x14ac:dyDescent="0.3">
      <c r="A112" s="2" t="s">
        <v>397</v>
      </c>
      <c r="B112" s="12">
        <v>45557</v>
      </c>
      <c r="C112" s="3" t="s">
        <v>313</v>
      </c>
      <c r="D112" s="2" t="s">
        <v>34</v>
      </c>
      <c r="E112" s="2" t="s">
        <v>35</v>
      </c>
      <c r="F112" s="2" t="s">
        <v>46</v>
      </c>
      <c r="G112" t="str">
        <f t="shared" si="3"/>
        <v>Central</v>
      </c>
      <c r="H112" s="2" t="s">
        <v>24</v>
      </c>
      <c r="I112" s="2" t="s">
        <v>125</v>
      </c>
      <c r="J112" s="2" t="s">
        <v>78</v>
      </c>
      <c r="K112" s="2" t="s">
        <v>93</v>
      </c>
      <c r="L112" s="2" t="s">
        <v>94</v>
      </c>
      <c r="M112" s="5">
        <v>1</v>
      </c>
      <c r="N112" s="5">
        <f t="shared" si="4"/>
        <v>1</v>
      </c>
      <c r="O112" s="4">
        <v>121.12</v>
      </c>
      <c r="P112" s="6">
        <v>0.05</v>
      </c>
      <c r="Q112" s="4">
        <v>115.06</v>
      </c>
      <c r="R112" s="4">
        <f t="shared" si="5"/>
        <v>115.06</v>
      </c>
      <c r="S112" s="4">
        <v>8.34</v>
      </c>
      <c r="T112" s="2" t="s">
        <v>41</v>
      </c>
      <c r="U112" s="2" t="s">
        <v>30</v>
      </c>
    </row>
    <row r="113" spans="1:21" x14ac:dyDescent="0.3">
      <c r="A113" s="2" t="s">
        <v>399</v>
      </c>
      <c r="B113" s="12">
        <v>45171</v>
      </c>
      <c r="C113" s="3" t="s">
        <v>400</v>
      </c>
      <c r="D113" s="2" t="s">
        <v>52</v>
      </c>
      <c r="E113" s="2" t="s">
        <v>22</v>
      </c>
      <c r="F113" s="2" t="s">
        <v>67</v>
      </c>
      <c r="G113" t="str">
        <f t="shared" si="3"/>
        <v>East</v>
      </c>
      <c r="H113" s="2" t="s">
        <v>47</v>
      </c>
      <c r="I113" s="2" t="s">
        <v>164</v>
      </c>
      <c r="J113" s="2" t="s">
        <v>38</v>
      </c>
      <c r="K113" s="2" t="s">
        <v>60</v>
      </c>
      <c r="L113" s="2" t="s">
        <v>132</v>
      </c>
      <c r="M113" s="5">
        <v>8</v>
      </c>
      <c r="N113" s="5">
        <f t="shared" si="4"/>
        <v>8</v>
      </c>
      <c r="O113" s="4">
        <v>35.76</v>
      </c>
      <c r="P113" s="6">
        <v>0.15</v>
      </c>
      <c r="Q113" s="4">
        <v>243.17</v>
      </c>
      <c r="R113" s="4">
        <f t="shared" si="5"/>
        <v>243.17</v>
      </c>
      <c r="S113" s="4">
        <v>22.98</v>
      </c>
      <c r="T113" s="2" t="s">
        <v>87</v>
      </c>
      <c r="U113" s="2" t="s">
        <v>30</v>
      </c>
    </row>
    <row r="114" spans="1:21" x14ac:dyDescent="0.3">
      <c r="A114" s="2" t="s">
        <v>401</v>
      </c>
      <c r="B114" s="12">
        <v>45288</v>
      </c>
      <c r="C114" s="3" t="s">
        <v>403</v>
      </c>
      <c r="D114" s="2" t="s">
        <v>21</v>
      </c>
      <c r="E114" s="2" t="s">
        <v>22</v>
      </c>
      <c r="F114" s="2" t="s">
        <v>53</v>
      </c>
      <c r="G114" t="str">
        <f t="shared" si="3"/>
        <v>West</v>
      </c>
      <c r="H114" s="2" t="s">
        <v>68</v>
      </c>
      <c r="I114" s="2" t="s">
        <v>77</v>
      </c>
      <c r="J114" s="2" t="s">
        <v>26</v>
      </c>
      <c r="K114" s="2" t="s">
        <v>70</v>
      </c>
      <c r="L114" s="2" t="s">
        <v>222</v>
      </c>
      <c r="M114" s="5">
        <v>7</v>
      </c>
      <c r="N114" s="5">
        <f t="shared" si="4"/>
        <v>7</v>
      </c>
      <c r="O114" s="4">
        <v>90.79</v>
      </c>
      <c r="P114" s="6">
        <v>0.3</v>
      </c>
      <c r="Q114" s="4">
        <v>444.87</v>
      </c>
      <c r="R114" s="4">
        <f t="shared" si="5"/>
        <v>444.87</v>
      </c>
      <c r="S114" s="4">
        <v>-62.56</v>
      </c>
      <c r="T114" s="2" t="s">
        <v>87</v>
      </c>
      <c r="U114" s="2" t="s">
        <v>30</v>
      </c>
    </row>
    <row r="115" spans="1:21" x14ac:dyDescent="0.3">
      <c r="A115" s="2" t="s">
        <v>404</v>
      </c>
      <c r="B115" s="12">
        <v>45323</v>
      </c>
      <c r="C115" s="3" t="s">
        <v>406</v>
      </c>
      <c r="D115" s="2" t="s">
        <v>66</v>
      </c>
      <c r="E115" s="2" t="s">
        <v>35</v>
      </c>
      <c r="F115" s="2" t="s">
        <v>53</v>
      </c>
      <c r="G115" t="str">
        <f t="shared" si="3"/>
        <v>West</v>
      </c>
      <c r="H115" s="2" t="s">
        <v>84</v>
      </c>
      <c r="I115" s="2" t="s">
        <v>131</v>
      </c>
      <c r="J115" s="2" t="s">
        <v>26</v>
      </c>
      <c r="K115" s="2" t="s">
        <v>27</v>
      </c>
      <c r="L115" s="2" t="s">
        <v>179</v>
      </c>
      <c r="M115" s="5">
        <v>1</v>
      </c>
      <c r="N115" s="5">
        <f t="shared" si="4"/>
        <v>1</v>
      </c>
      <c r="O115" s="4">
        <v>165.84</v>
      </c>
      <c r="P115" s="6">
        <v>0</v>
      </c>
      <c r="Q115" s="4">
        <v>165.84</v>
      </c>
      <c r="R115" s="4">
        <f t="shared" si="5"/>
        <v>165.84</v>
      </c>
      <c r="S115" s="4">
        <v>-3.55</v>
      </c>
      <c r="T115" s="2" t="s">
        <v>41</v>
      </c>
      <c r="U115" s="2" t="s">
        <v>62</v>
      </c>
    </row>
    <row r="116" spans="1:21" x14ac:dyDescent="0.3">
      <c r="A116" s="2" t="s">
        <v>407</v>
      </c>
      <c r="B116" s="12">
        <v>45402</v>
      </c>
      <c r="C116" s="3" t="s">
        <v>408</v>
      </c>
      <c r="D116" s="2" t="s">
        <v>147</v>
      </c>
      <c r="E116" s="2" t="s">
        <v>45</v>
      </c>
      <c r="F116" s="2" t="s">
        <v>67</v>
      </c>
      <c r="G116" t="str">
        <f t="shared" si="3"/>
        <v>East</v>
      </c>
      <c r="H116" s="2" t="s">
        <v>108</v>
      </c>
      <c r="I116" s="2" t="s">
        <v>109</v>
      </c>
      <c r="J116" s="2" t="s">
        <v>26</v>
      </c>
      <c r="K116" s="2" t="s">
        <v>27</v>
      </c>
      <c r="L116" s="2" t="s">
        <v>28</v>
      </c>
      <c r="M116" s="5">
        <v>3</v>
      </c>
      <c r="N116" s="5">
        <f t="shared" si="4"/>
        <v>3</v>
      </c>
      <c r="O116" s="4">
        <v>366.68</v>
      </c>
      <c r="P116" s="6">
        <v>0</v>
      </c>
      <c r="Q116" s="4">
        <v>1100.04</v>
      </c>
      <c r="R116" s="4">
        <f t="shared" si="5"/>
        <v>1100.04</v>
      </c>
      <c r="S116" s="4">
        <v>164.32</v>
      </c>
      <c r="T116" s="2" t="s">
        <v>55</v>
      </c>
      <c r="U116" s="2" t="s">
        <v>30</v>
      </c>
    </row>
    <row r="117" spans="1:21" x14ac:dyDescent="0.3">
      <c r="A117" s="2" t="s">
        <v>409</v>
      </c>
      <c r="B117" s="12">
        <v>45244</v>
      </c>
      <c r="C117" s="3" t="s">
        <v>345</v>
      </c>
      <c r="D117" s="2" t="s">
        <v>147</v>
      </c>
      <c r="E117" s="2" t="s">
        <v>22</v>
      </c>
      <c r="F117" s="2" t="s">
        <v>46</v>
      </c>
      <c r="G117" t="str">
        <f t="shared" si="3"/>
        <v>Central</v>
      </c>
      <c r="H117" s="2" t="s">
        <v>36</v>
      </c>
      <c r="I117" s="2" t="s">
        <v>92</v>
      </c>
      <c r="J117" s="2" t="s">
        <v>78</v>
      </c>
      <c r="K117" s="2" t="s">
        <v>79</v>
      </c>
      <c r="L117" s="2" t="s">
        <v>378</v>
      </c>
      <c r="M117" s="5">
        <v>8</v>
      </c>
      <c r="N117" s="5">
        <f t="shared" si="4"/>
        <v>8</v>
      </c>
      <c r="O117" s="4">
        <v>119.96</v>
      </c>
      <c r="P117" s="6">
        <v>0.3</v>
      </c>
      <c r="Q117" s="4">
        <v>671.78</v>
      </c>
      <c r="R117" s="4">
        <f t="shared" si="5"/>
        <v>671.78</v>
      </c>
      <c r="S117" s="4">
        <v>-61.87</v>
      </c>
      <c r="T117" s="2" t="s">
        <v>29</v>
      </c>
      <c r="U117" s="2" t="s">
        <v>56</v>
      </c>
    </row>
    <row r="118" spans="1:21" x14ac:dyDescent="0.3">
      <c r="A118" s="2" t="s">
        <v>411</v>
      </c>
      <c r="B118" s="12">
        <v>45336</v>
      </c>
      <c r="C118" s="3" t="s">
        <v>199</v>
      </c>
      <c r="D118" s="2" t="s">
        <v>66</v>
      </c>
      <c r="E118" s="2" t="s">
        <v>22</v>
      </c>
      <c r="F118" s="2" t="s">
        <v>46</v>
      </c>
      <c r="G118" t="str">
        <f t="shared" si="3"/>
        <v>Central</v>
      </c>
      <c r="H118" s="2" t="s">
        <v>108</v>
      </c>
      <c r="I118" s="2" t="s">
        <v>109</v>
      </c>
      <c r="J118" s="2" t="s">
        <v>78</v>
      </c>
      <c r="K118" s="2" t="s">
        <v>93</v>
      </c>
      <c r="L118" s="2" t="s">
        <v>94</v>
      </c>
      <c r="M118" s="5">
        <v>7</v>
      </c>
      <c r="N118" s="5">
        <f t="shared" si="4"/>
        <v>7</v>
      </c>
      <c r="O118" s="4">
        <v>157.85</v>
      </c>
      <c r="P118" s="6">
        <v>0.05</v>
      </c>
      <c r="Q118" s="4">
        <v>1049.7</v>
      </c>
      <c r="R118" s="4">
        <f t="shared" si="5"/>
        <v>1049.7</v>
      </c>
      <c r="S118" s="4">
        <v>50.65</v>
      </c>
      <c r="T118" s="2" t="s">
        <v>87</v>
      </c>
      <c r="U118" s="2" t="s">
        <v>30</v>
      </c>
    </row>
    <row r="119" spans="1:21" x14ac:dyDescent="0.3">
      <c r="A119" s="2" t="s">
        <v>413</v>
      </c>
      <c r="B119" s="12">
        <v>45543</v>
      </c>
      <c r="C119" s="3" t="s">
        <v>415</v>
      </c>
      <c r="D119" s="2" t="s">
        <v>91</v>
      </c>
      <c r="E119" s="2" t="s">
        <v>45</v>
      </c>
      <c r="F119" s="2" t="s">
        <v>23</v>
      </c>
      <c r="G119" t="str">
        <f t="shared" si="3"/>
        <v>South</v>
      </c>
      <c r="H119" s="2" t="s">
        <v>68</v>
      </c>
      <c r="I119" s="2" t="s">
        <v>77</v>
      </c>
      <c r="J119" s="2" t="s">
        <v>78</v>
      </c>
      <c r="K119" s="2" t="s">
        <v>93</v>
      </c>
      <c r="L119" s="2" t="s">
        <v>94</v>
      </c>
      <c r="M119" s="5">
        <v>5</v>
      </c>
      <c r="N119" s="5">
        <f t="shared" si="4"/>
        <v>5</v>
      </c>
      <c r="O119" s="4">
        <v>149.97999999999999</v>
      </c>
      <c r="P119" s="6">
        <v>0</v>
      </c>
      <c r="Q119" s="4">
        <v>749.9</v>
      </c>
      <c r="R119" s="4">
        <f t="shared" si="5"/>
        <v>749.9</v>
      </c>
      <c r="S119" s="4">
        <v>-21.86</v>
      </c>
      <c r="T119" s="2" t="s">
        <v>87</v>
      </c>
      <c r="U119" s="2" t="s">
        <v>56</v>
      </c>
    </row>
    <row r="120" spans="1:21" x14ac:dyDescent="0.3">
      <c r="A120" s="2" t="s">
        <v>416</v>
      </c>
      <c r="B120" s="12">
        <v>44970</v>
      </c>
      <c r="C120" s="3" t="s">
        <v>418</v>
      </c>
      <c r="D120" s="2" t="s">
        <v>66</v>
      </c>
      <c r="E120" s="2" t="s">
        <v>22</v>
      </c>
      <c r="F120" s="2" t="s">
        <v>67</v>
      </c>
      <c r="G120" t="str">
        <f t="shared" si="3"/>
        <v>East</v>
      </c>
      <c r="H120" s="2" t="s">
        <v>108</v>
      </c>
      <c r="I120" s="2" t="s">
        <v>109</v>
      </c>
      <c r="J120" s="2" t="s">
        <v>78</v>
      </c>
      <c r="K120" s="2" t="s">
        <v>93</v>
      </c>
      <c r="L120" s="2" t="s">
        <v>94</v>
      </c>
      <c r="M120" s="5">
        <v>7</v>
      </c>
      <c r="N120" s="5">
        <f t="shared" si="4"/>
        <v>7</v>
      </c>
      <c r="O120" s="4">
        <v>129.35</v>
      </c>
      <c r="P120" s="6">
        <v>0</v>
      </c>
      <c r="Q120" s="4">
        <v>905.45</v>
      </c>
      <c r="R120" s="4">
        <f t="shared" si="5"/>
        <v>905.45</v>
      </c>
      <c r="S120" s="4">
        <v>-131.72999999999999</v>
      </c>
      <c r="T120" s="2" t="s">
        <v>55</v>
      </c>
      <c r="U120" s="2" t="s">
        <v>72</v>
      </c>
    </row>
    <row r="121" spans="1:21" x14ac:dyDescent="0.3">
      <c r="A121" s="2" t="s">
        <v>419</v>
      </c>
      <c r="B121" s="12">
        <v>45056</v>
      </c>
      <c r="C121" s="3" t="s">
        <v>421</v>
      </c>
      <c r="D121" s="2" t="s">
        <v>120</v>
      </c>
      <c r="E121" s="2" t="s">
        <v>45</v>
      </c>
      <c r="F121" s="2" t="s">
        <v>46</v>
      </c>
      <c r="G121" t="str">
        <f t="shared" si="3"/>
        <v>Central</v>
      </c>
      <c r="H121" s="2" t="s">
        <v>24</v>
      </c>
      <c r="I121" s="2" t="s">
        <v>125</v>
      </c>
      <c r="J121" s="2" t="s">
        <v>38</v>
      </c>
      <c r="K121" s="2" t="s">
        <v>60</v>
      </c>
      <c r="L121" s="2" t="s">
        <v>132</v>
      </c>
      <c r="M121" s="5">
        <v>6</v>
      </c>
      <c r="N121" s="5">
        <f t="shared" si="4"/>
        <v>6</v>
      </c>
      <c r="O121" s="4">
        <v>168.07</v>
      </c>
      <c r="Q121" s="4">
        <v>806.74</v>
      </c>
      <c r="R121" s="4">
        <f t="shared" si="5"/>
        <v>806.74</v>
      </c>
      <c r="S121" s="4">
        <v>-133.19</v>
      </c>
      <c r="T121" s="2" t="s">
        <v>29</v>
      </c>
      <c r="U121" s="2" t="s">
        <v>62</v>
      </c>
    </row>
    <row r="122" spans="1:21" x14ac:dyDescent="0.3">
      <c r="A122" s="2" t="s">
        <v>422</v>
      </c>
      <c r="B122" s="12">
        <v>45302</v>
      </c>
      <c r="C122" s="3" t="s">
        <v>424</v>
      </c>
      <c r="D122" s="2" t="s">
        <v>120</v>
      </c>
      <c r="E122" s="2" t="s">
        <v>22</v>
      </c>
      <c r="F122" s="2" t="s">
        <v>23</v>
      </c>
      <c r="G122" t="str">
        <f t="shared" si="3"/>
        <v>South</v>
      </c>
      <c r="H122" s="2" t="s">
        <v>47</v>
      </c>
      <c r="I122" s="2" t="s">
        <v>48</v>
      </c>
      <c r="J122" s="2" t="s">
        <v>26</v>
      </c>
      <c r="K122" s="2" t="s">
        <v>70</v>
      </c>
      <c r="L122" s="2" t="s">
        <v>86</v>
      </c>
      <c r="M122" s="5">
        <v>5</v>
      </c>
      <c r="N122" s="5">
        <f t="shared" si="4"/>
        <v>5</v>
      </c>
      <c r="O122" s="4">
        <v>118.33</v>
      </c>
      <c r="P122" s="6">
        <v>0</v>
      </c>
      <c r="Q122" s="4">
        <v>591.65</v>
      </c>
      <c r="R122" s="4">
        <f t="shared" si="5"/>
        <v>591.65</v>
      </c>
      <c r="S122" s="4">
        <v>-99.44</v>
      </c>
      <c r="T122" s="2" t="s">
        <v>29</v>
      </c>
      <c r="U122" s="2" t="s">
        <v>56</v>
      </c>
    </row>
    <row r="123" spans="1:21" x14ac:dyDescent="0.3">
      <c r="A123" s="2" t="s">
        <v>425</v>
      </c>
      <c r="B123" s="12">
        <v>45647</v>
      </c>
      <c r="C123" s="3" t="s">
        <v>426</v>
      </c>
      <c r="D123" s="2" t="s">
        <v>21</v>
      </c>
      <c r="E123" s="2" t="s">
        <v>45</v>
      </c>
      <c r="F123" s="2" t="s">
        <v>67</v>
      </c>
      <c r="G123" t="str">
        <f t="shared" si="3"/>
        <v>East</v>
      </c>
      <c r="H123" s="2" t="s">
        <v>47</v>
      </c>
      <c r="I123" s="2" t="s">
        <v>121</v>
      </c>
      <c r="J123" s="2" t="s">
        <v>78</v>
      </c>
      <c r="K123" s="2" t="s">
        <v>79</v>
      </c>
      <c r="L123" s="2" t="s">
        <v>143</v>
      </c>
      <c r="M123" s="5">
        <v>5</v>
      </c>
      <c r="N123" s="5">
        <f t="shared" si="4"/>
        <v>5</v>
      </c>
      <c r="O123" s="4">
        <v>314.74</v>
      </c>
      <c r="P123" s="6">
        <v>0.15</v>
      </c>
      <c r="Q123" s="4">
        <v>1337.64</v>
      </c>
      <c r="R123" s="4">
        <f t="shared" si="5"/>
        <v>1337.64</v>
      </c>
      <c r="S123" s="4">
        <v>-117.6</v>
      </c>
      <c r="T123" s="2" t="s">
        <v>87</v>
      </c>
      <c r="U123" s="2" t="s">
        <v>30</v>
      </c>
    </row>
    <row r="124" spans="1:21" x14ac:dyDescent="0.3">
      <c r="A124" s="2" t="s">
        <v>427</v>
      </c>
      <c r="B124" s="12">
        <v>45254</v>
      </c>
      <c r="C124" s="3" t="s">
        <v>257</v>
      </c>
      <c r="D124" s="2" t="s">
        <v>76</v>
      </c>
      <c r="E124" s="2" t="s">
        <v>45</v>
      </c>
      <c r="F124" s="2" t="s">
        <v>67</v>
      </c>
      <c r="G124" t="str">
        <f t="shared" si="3"/>
        <v>East</v>
      </c>
      <c r="H124" s="2" t="s">
        <v>108</v>
      </c>
      <c r="I124" s="2" t="s">
        <v>109</v>
      </c>
      <c r="J124" s="2" t="s">
        <v>26</v>
      </c>
      <c r="K124" s="2" t="s">
        <v>27</v>
      </c>
      <c r="L124" s="2" t="s">
        <v>28</v>
      </c>
      <c r="M124" s="5">
        <v>2</v>
      </c>
      <c r="N124" s="5">
        <f t="shared" si="4"/>
        <v>2</v>
      </c>
      <c r="O124" s="4">
        <v>251.1</v>
      </c>
      <c r="P124" s="6">
        <v>0.1</v>
      </c>
      <c r="Q124" s="4">
        <v>451.98</v>
      </c>
      <c r="R124" s="4">
        <f t="shared" si="5"/>
        <v>451.98</v>
      </c>
      <c r="S124" s="4">
        <v>103.96</v>
      </c>
      <c r="T124" s="2" t="s">
        <v>55</v>
      </c>
      <c r="U124" s="2" t="s">
        <v>62</v>
      </c>
    </row>
    <row r="125" spans="1:21" x14ac:dyDescent="0.3">
      <c r="A125" s="2" t="s">
        <v>429</v>
      </c>
      <c r="B125" s="12">
        <v>45432</v>
      </c>
      <c r="C125" s="3" t="s">
        <v>263</v>
      </c>
      <c r="D125" s="2" t="s">
        <v>21</v>
      </c>
      <c r="E125" s="2" t="s">
        <v>45</v>
      </c>
      <c r="F125" s="2" t="s">
        <v>23</v>
      </c>
      <c r="G125" t="str">
        <f t="shared" si="3"/>
        <v>South</v>
      </c>
      <c r="H125" s="2" t="s">
        <v>24</v>
      </c>
      <c r="I125" s="2" t="s">
        <v>59</v>
      </c>
      <c r="J125" s="2" t="s">
        <v>38</v>
      </c>
      <c r="K125" s="2" t="s">
        <v>39</v>
      </c>
      <c r="L125" s="2" t="s">
        <v>40</v>
      </c>
      <c r="M125" s="5">
        <v>6</v>
      </c>
      <c r="N125" s="5">
        <f t="shared" si="4"/>
        <v>6</v>
      </c>
      <c r="O125" s="4">
        <v>214.59</v>
      </c>
      <c r="P125" s="6">
        <v>0.2</v>
      </c>
      <c r="Q125" s="4">
        <v>1030.03</v>
      </c>
      <c r="R125" s="4">
        <f t="shared" si="5"/>
        <v>1030.03</v>
      </c>
      <c r="S125" s="4">
        <v>-123.92</v>
      </c>
      <c r="T125" s="2" t="s">
        <v>87</v>
      </c>
      <c r="U125" s="2" t="s">
        <v>72</v>
      </c>
    </row>
    <row r="126" spans="1:21" x14ac:dyDescent="0.3">
      <c r="A126" s="2" t="s">
        <v>431</v>
      </c>
      <c r="B126" s="12">
        <v>45515</v>
      </c>
      <c r="C126" s="3" t="s">
        <v>433</v>
      </c>
      <c r="D126" s="2" t="s">
        <v>66</v>
      </c>
      <c r="E126" s="2" t="s">
        <v>35</v>
      </c>
      <c r="F126" s="2" t="s">
        <v>67</v>
      </c>
      <c r="G126" t="str">
        <f t="shared" si="3"/>
        <v>East</v>
      </c>
      <c r="H126" s="2" t="s">
        <v>24</v>
      </c>
      <c r="I126" s="2" t="s">
        <v>125</v>
      </c>
      <c r="J126" s="2" t="s">
        <v>78</v>
      </c>
      <c r="K126" s="2" t="s">
        <v>93</v>
      </c>
      <c r="L126" s="2" t="s">
        <v>94</v>
      </c>
      <c r="M126" s="5">
        <v>6</v>
      </c>
      <c r="N126" s="5">
        <f t="shared" si="4"/>
        <v>6</v>
      </c>
      <c r="O126" s="4">
        <v>291.91000000000003</v>
      </c>
      <c r="P126" s="6">
        <v>0.15</v>
      </c>
      <c r="Q126" s="4">
        <v>1488.74</v>
      </c>
      <c r="R126" s="4">
        <f t="shared" si="5"/>
        <v>1488.74</v>
      </c>
      <c r="S126" s="4">
        <v>51.04</v>
      </c>
      <c r="T126" s="2" t="s">
        <v>87</v>
      </c>
      <c r="U126" s="2" t="s">
        <v>30</v>
      </c>
    </row>
    <row r="127" spans="1:21" x14ac:dyDescent="0.3">
      <c r="A127" s="2" t="s">
        <v>434</v>
      </c>
      <c r="B127" s="12">
        <v>45457</v>
      </c>
      <c r="C127" s="3" t="s">
        <v>436</v>
      </c>
      <c r="D127" s="2" t="s">
        <v>91</v>
      </c>
      <c r="E127" s="2" t="s">
        <v>35</v>
      </c>
      <c r="F127" s="2" t="s">
        <v>46</v>
      </c>
      <c r="G127" t="str">
        <f t="shared" si="3"/>
        <v>Central</v>
      </c>
      <c r="H127" s="2" t="s">
        <v>68</v>
      </c>
      <c r="I127" s="2" t="s">
        <v>69</v>
      </c>
      <c r="J127" s="2" t="s">
        <v>38</v>
      </c>
      <c r="K127" s="2" t="s">
        <v>60</v>
      </c>
      <c r="L127" s="2" t="s">
        <v>116</v>
      </c>
      <c r="M127" s="5">
        <v>3</v>
      </c>
      <c r="N127" s="5">
        <f t="shared" si="4"/>
        <v>3</v>
      </c>
      <c r="O127" s="4">
        <v>79.59</v>
      </c>
      <c r="P127" s="6">
        <v>0.3</v>
      </c>
      <c r="Q127" s="4">
        <v>167.14</v>
      </c>
      <c r="R127" s="4">
        <f t="shared" si="5"/>
        <v>167.14</v>
      </c>
      <c r="S127" s="4">
        <v>-12.75</v>
      </c>
      <c r="T127" s="2" t="s">
        <v>41</v>
      </c>
      <c r="U127" s="2" t="s">
        <v>62</v>
      </c>
    </row>
    <row r="128" spans="1:21" x14ac:dyDescent="0.3">
      <c r="A128" s="2" t="s">
        <v>437</v>
      </c>
      <c r="B128" s="12">
        <v>45237</v>
      </c>
      <c r="C128" s="3" t="s">
        <v>439</v>
      </c>
      <c r="D128" s="2" t="s">
        <v>76</v>
      </c>
      <c r="E128" s="2" t="s">
        <v>22</v>
      </c>
      <c r="F128" s="2" t="s">
        <v>46</v>
      </c>
      <c r="G128" t="str">
        <f t="shared" si="3"/>
        <v>Central</v>
      </c>
      <c r="H128" s="2" t="s">
        <v>36</v>
      </c>
      <c r="I128" s="2" t="s">
        <v>37</v>
      </c>
      <c r="J128" s="2" t="s">
        <v>26</v>
      </c>
      <c r="K128" s="2" t="s">
        <v>27</v>
      </c>
      <c r="L128" s="2" t="s">
        <v>139</v>
      </c>
      <c r="M128" s="5">
        <v>2</v>
      </c>
      <c r="N128" s="5">
        <f t="shared" si="4"/>
        <v>2</v>
      </c>
      <c r="O128" s="4">
        <v>230.14</v>
      </c>
      <c r="P128" s="6">
        <v>0.05</v>
      </c>
      <c r="Q128" s="4">
        <v>437.27</v>
      </c>
      <c r="R128" s="4">
        <f t="shared" si="5"/>
        <v>437.27</v>
      </c>
      <c r="S128" s="4">
        <v>40.33</v>
      </c>
      <c r="T128" s="2" t="s">
        <v>29</v>
      </c>
      <c r="U128" s="2" t="s">
        <v>30</v>
      </c>
    </row>
    <row r="129" spans="1:21" x14ac:dyDescent="0.3">
      <c r="A129" s="2" t="s">
        <v>440</v>
      </c>
      <c r="B129" s="12">
        <v>44973</v>
      </c>
      <c r="C129" s="3" t="s">
        <v>442</v>
      </c>
      <c r="D129" s="2" t="s">
        <v>120</v>
      </c>
      <c r="E129" s="2" t="s">
        <v>22</v>
      </c>
      <c r="F129" s="2" t="s">
        <v>46</v>
      </c>
      <c r="G129" t="str">
        <f t="shared" si="3"/>
        <v>Central</v>
      </c>
      <c r="H129" s="2" t="s">
        <v>108</v>
      </c>
      <c r="I129" s="2" t="s">
        <v>115</v>
      </c>
      <c r="J129" s="2" t="s">
        <v>38</v>
      </c>
      <c r="K129" s="2" t="s">
        <v>60</v>
      </c>
      <c r="L129" s="2" t="s">
        <v>61</v>
      </c>
      <c r="M129" s="5">
        <v>5</v>
      </c>
      <c r="N129" s="5">
        <f t="shared" si="4"/>
        <v>5</v>
      </c>
      <c r="O129" s="4">
        <v>295.8</v>
      </c>
      <c r="P129" s="6">
        <v>0.2</v>
      </c>
      <c r="Q129" s="4">
        <v>1183.2</v>
      </c>
      <c r="R129" s="4">
        <f t="shared" si="5"/>
        <v>1183.2</v>
      </c>
      <c r="S129" s="4">
        <v>13.76</v>
      </c>
      <c r="T129" s="2" t="s">
        <v>41</v>
      </c>
      <c r="U129" s="2" t="s">
        <v>72</v>
      </c>
    </row>
    <row r="130" spans="1:21" x14ac:dyDescent="0.3">
      <c r="A130" s="2" t="s">
        <v>443</v>
      </c>
      <c r="B130" s="12">
        <v>45628</v>
      </c>
      <c r="C130" s="3" t="s">
        <v>445</v>
      </c>
      <c r="D130" s="2" t="s">
        <v>120</v>
      </c>
      <c r="E130" s="2" t="s">
        <v>45</v>
      </c>
      <c r="F130" s="2" t="s">
        <v>67</v>
      </c>
      <c r="G130" t="str">
        <f t="shared" ref="G130:G193" si="6">IF(TRIM(F130)="","",PROPER(TRIM(F130)))</f>
        <v>East</v>
      </c>
      <c r="H130" s="2" t="s">
        <v>47</v>
      </c>
      <c r="I130" s="2" t="s">
        <v>48</v>
      </c>
      <c r="J130" s="2" t="s">
        <v>38</v>
      </c>
      <c r="K130" s="2" t="s">
        <v>39</v>
      </c>
      <c r="L130" s="2" t="s">
        <v>165</v>
      </c>
      <c r="M130" s="5">
        <v>8</v>
      </c>
      <c r="N130" s="5">
        <f t="shared" ref="N130:N193" si="7">IFERROR(IF(TRIM(M130)="","",IF(UPPER(TRIM(M130))="N/A","",IF(VALUE(M130)&lt;0,"",VALUE(M130)))),"")</f>
        <v>8</v>
      </c>
      <c r="O130" s="4">
        <v>40.25</v>
      </c>
      <c r="P130" s="6">
        <v>0</v>
      </c>
      <c r="Q130" s="4">
        <v>322</v>
      </c>
      <c r="R130" s="4">
        <f t="shared" ref="R130:R193" si="8">IFERROR(IF(Q130&lt;&gt;"",Q130,IF(OR(M130="",O130="",P130=""),"",IF(OR(M130&lt;=0,O130&lt;=0,P130&lt;0,P130&gt;1),"",ROUND(M130*O130*(1-P130),2)))),"")</f>
        <v>322</v>
      </c>
      <c r="S130" s="4">
        <v>-34.549999999999997</v>
      </c>
      <c r="T130" s="2" t="s">
        <v>55</v>
      </c>
      <c r="U130" s="2" t="s">
        <v>56</v>
      </c>
    </row>
    <row r="131" spans="1:21" x14ac:dyDescent="0.3">
      <c r="A131" s="2" t="s">
        <v>446</v>
      </c>
      <c r="B131" s="12">
        <v>45253</v>
      </c>
      <c r="C131" s="3" t="s">
        <v>448</v>
      </c>
      <c r="D131" s="2" t="s">
        <v>66</v>
      </c>
      <c r="E131" s="2" t="s">
        <v>35</v>
      </c>
      <c r="F131" s="2" t="s">
        <v>23</v>
      </c>
      <c r="G131" t="str">
        <f t="shared" si="6"/>
        <v>South</v>
      </c>
      <c r="H131" s="2" t="s">
        <v>108</v>
      </c>
      <c r="I131" s="2" t="s">
        <v>109</v>
      </c>
      <c r="J131" s="2" t="s">
        <v>26</v>
      </c>
      <c r="K131" s="2" t="s">
        <v>27</v>
      </c>
      <c r="L131" s="2" t="s">
        <v>28</v>
      </c>
      <c r="M131" s="5">
        <v>7</v>
      </c>
      <c r="N131" s="5">
        <f t="shared" si="7"/>
        <v>7</v>
      </c>
      <c r="O131" s="4">
        <v>65.8</v>
      </c>
      <c r="P131" s="6">
        <v>0.1</v>
      </c>
      <c r="Q131" s="4">
        <v>414.54</v>
      </c>
      <c r="R131" s="4">
        <f t="shared" si="8"/>
        <v>414.54</v>
      </c>
      <c r="S131" s="4">
        <v>23.58</v>
      </c>
      <c r="T131" s="2" t="s">
        <v>41</v>
      </c>
      <c r="U131" s="2" t="s">
        <v>72</v>
      </c>
    </row>
    <row r="132" spans="1:21" x14ac:dyDescent="0.3">
      <c r="A132" s="2" t="s">
        <v>449</v>
      </c>
      <c r="B132" s="12">
        <v>45071</v>
      </c>
      <c r="C132" s="3" t="s">
        <v>451</v>
      </c>
      <c r="D132" s="2" t="s">
        <v>66</v>
      </c>
      <c r="E132" s="2" t="s">
        <v>22</v>
      </c>
      <c r="F132" s="2" t="s">
        <v>46</v>
      </c>
      <c r="G132" t="str">
        <f t="shared" si="6"/>
        <v>Central</v>
      </c>
      <c r="H132" s="2" t="s">
        <v>24</v>
      </c>
      <c r="I132" s="2" t="s">
        <v>125</v>
      </c>
      <c r="J132" s="2" t="s">
        <v>38</v>
      </c>
      <c r="K132" s="2" t="s">
        <v>39</v>
      </c>
      <c r="L132" s="2" t="s">
        <v>98</v>
      </c>
      <c r="M132" s="5">
        <v>5</v>
      </c>
      <c r="N132" s="5">
        <f t="shared" si="7"/>
        <v>5</v>
      </c>
      <c r="O132" s="4">
        <v>425.86</v>
      </c>
      <c r="P132" s="6">
        <v>0.2</v>
      </c>
      <c r="Q132" s="4">
        <v>1703.44</v>
      </c>
      <c r="R132" s="4">
        <f t="shared" si="8"/>
        <v>1703.44</v>
      </c>
      <c r="S132" s="4">
        <v>21.02</v>
      </c>
      <c r="T132" s="2" t="s">
        <v>55</v>
      </c>
      <c r="U132" s="2" t="s">
        <v>72</v>
      </c>
    </row>
    <row r="133" spans="1:21" x14ac:dyDescent="0.3">
      <c r="A133" s="2" t="s">
        <v>452</v>
      </c>
      <c r="B133" s="12">
        <v>45405</v>
      </c>
      <c r="C133" s="3" t="s">
        <v>454</v>
      </c>
      <c r="D133" s="2" t="s">
        <v>52</v>
      </c>
      <c r="E133" s="2" t="s">
        <v>22</v>
      </c>
      <c r="F133" s="2" t="s">
        <v>46</v>
      </c>
      <c r="G133" t="str">
        <f t="shared" si="6"/>
        <v>Central</v>
      </c>
      <c r="H133" s="2" t="s">
        <v>47</v>
      </c>
      <c r="I133" s="2" t="s">
        <v>48</v>
      </c>
      <c r="J133" s="2" t="s">
        <v>26</v>
      </c>
      <c r="K133" s="2" t="s">
        <v>70</v>
      </c>
      <c r="L133" s="2" t="s">
        <v>71</v>
      </c>
      <c r="M133" s="5">
        <v>8</v>
      </c>
      <c r="N133" s="5">
        <f t="shared" si="7"/>
        <v>8</v>
      </c>
      <c r="O133" s="4">
        <v>18.239999999999998</v>
      </c>
      <c r="P133" s="6">
        <v>0.15</v>
      </c>
      <c r="Q133" s="4">
        <v>124.03</v>
      </c>
      <c r="R133" s="4">
        <f t="shared" si="8"/>
        <v>124.03</v>
      </c>
      <c r="S133" s="4">
        <v>6.51</v>
      </c>
      <c r="T133" s="2" t="s">
        <v>29</v>
      </c>
      <c r="U133" s="2" t="s">
        <v>56</v>
      </c>
    </row>
    <row r="134" spans="1:21" x14ac:dyDescent="0.3">
      <c r="A134" s="2" t="s">
        <v>455</v>
      </c>
      <c r="B134" s="12">
        <v>45538</v>
      </c>
      <c r="C134" s="3" t="s">
        <v>457</v>
      </c>
      <c r="D134" s="2" t="s">
        <v>76</v>
      </c>
      <c r="E134" s="2" t="s">
        <v>45</v>
      </c>
      <c r="F134" s="2" t="s">
        <v>46</v>
      </c>
      <c r="G134" t="str">
        <f t="shared" si="6"/>
        <v>Central</v>
      </c>
      <c r="H134" s="2" t="s">
        <v>108</v>
      </c>
      <c r="I134" s="2" t="s">
        <v>115</v>
      </c>
      <c r="J134" s="2" t="s">
        <v>78</v>
      </c>
      <c r="K134" s="2" t="s">
        <v>93</v>
      </c>
      <c r="L134" s="2" t="s">
        <v>202</v>
      </c>
      <c r="M134" s="5">
        <v>8</v>
      </c>
      <c r="N134" s="5">
        <f t="shared" si="7"/>
        <v>8</v>
      </c>
      <c r="O134" s="4">
        <v>134.30000000000001</v>
      </c>
      <c r="P134" s="6">
        <v>0</v>
      </c>
      <c r="Q134" s="4">
        <v>1074.4000000000001</v>
      </c>
      <c r="R134" s="4">
        <f t="shared" si="8"/>
        <v>1074.4000000000001</v>
      </c>
      <c r="S134" s="4">
        <v>225.3</v>
      </c>
      <c r="T134" s="2" t="s">
        <v>41</v>
      </c>
      <c r="U134" s="2" t="s">
        <v>30</v>
      </c>
    </row>
    <row r="135" spans="1:21" x14ac:dyDescent="0.3">
      <c r="A135" s="2" t="s">
        <v>458</v>
      </c>
      <c r="B135" s="12">
        <v>44979</v>
      </c>
      <c r="C135" s="3" t="s">
        <v>460</v>
      </c>
      <c r="D135" s="2" t="s">
        <v>120</v>
      </c>
      <c r="E135" s="2" t="s">
        <v>22</v>
      </c>
      <c r="F135" s="2" t="s">
        <v>46</v>
      </c>
      <c r="G135" t="str">
        <f t="shared" si="6"/>
        <v>Central</v>
      </c>
      <c r="H135" s="2" t="s">
        <v>36</v>
      </c>
      <c r="I135" s="2" t="s">
        <v>37</v>
      </c>
      <c r="J135" s="2" t="s">
        <v>78</v>
      </c>
      <c r="K135" s="2" t="s">
        <v>93</v>
      </c>
      <c r="L135" s="2" t="s">
        <v>110</v>
      </c>
      <c r="M135" s="5">
        <v>4</v>
      </c>
      <c r="N135" s="5">
        <f t="shared" si="7"/>
        <v>4</v>
      </c>
      <c r="O135" s="4">
        <v>168.24</v>
      </c>
      <c r="P135" s="6">
        <v>0.1</v>
      </c>
      <c r="Q135" s="4">
        <v>605.66</v>
      </c>
      <c r="R135" s="4">
        <f t="shared" si="8"/>
        <v>605.66</v>
      </c>
      <c r="S135" s="4">
        <v>-88.53</v>
      </c>
      <c r="T135" s="2" t="s">
        <v>29</v>
      </c>
      <c r="U135" s="2" t="s">
        <v>727</v>
      </c>
    </row>
    <row r="136" spans="1:21" x14ac:dyDescent="0.3">
      <c r="A136" s="2" t="s">
        <v>462</v>
      </c>
      <c r="B136" s="12">
        <v>45330</v>
      </c>
      <c r="C136" s="3" t="s">
        <v>83</v>
      </c>
      <c r="D136" s="2" t="s">
        <v>147</v>
      </c>
      <c r="E136" s="2" t="s">
        <v>35</v>
      </c>
      <c r="F136" s="2" t="s">
        <v>53</v>
      </c>
      <c r="G136" t="str">
        <f t="shared" si="6"/>
        <v>West</v>
      </c>
      <c r="H136" s="2" t="s">
        <v>84</v>
      </c>
      <c r="I136" s="2" t="s">
        <v>131</v>
      </c>
      <c r="J136" s="2" t="s">
        <v>38</v>
      </c>
      <c r="K136" s="2" t="s">
        <v>60</v>
      </c>
      <c r="L136" s="2" t="s">
        <v>116</v>
      </c>
      <c r="M136" s="5">
        <v>6</v>
      </c>
      <c r="N136" s="5">
        <f t="shared" si="7"/>
        <v>6</v>
      </c>
      <c r="O136" s="4">
        <v>341.69</v>
      </c>
      <c r="P136" s="6">
        <v>0.05</v>
      </c>
      <c r="Q136" s="4">
        <v>1947.63</v>
      </c>
      <c r="R136" s="4">
        <f t="shared" si="8"/>
        <v>1947.63</v>
      </c>
      <c r="S136" s="4">
        <v>189.18</v>
      </c>
      <c r="T136" s="2" t="s">
        <v>41</v>
      </c>
      <c r="U136" s="2" t="s">
        <v>72</v>
      </c>
    </row>
    <row r="137" spans="1:21" x14ac:dyDescent="0.3">
      <c r="A137" s="2" t="s">
        <v>464</v>
      </c>
      <c r="B137" s="12">
        <v>45394</v>
      </c>
      <c r="C137" s="3" t="s">
        <v>466</v>
      </c>
      <c r="D137" s="2" t="s">
        <v>91</v>
      </c>
      <c r="E137" s="2" t="s">
        <v>22</v>
      </c>
      <c r="F137" s="2" t="s">
        <v>46</v>
      </c>
      <c r="G137" t="str">
        <f t="shared" si="6"/>
        <v>Central</v>
      </c>
      <c r="H137" s="2" t="s">
        <v>68</v>
      </c>
      <c r="I137" s="2" t="s">
        <v>77</v>
      </c>
      <c r="J137" s="2" t="s">
        <v>26</v>
      </c>
      <c r="K137" s="2" t="s">
        <v>70</v>
      </c>
      <c r="L137" s="2" t="s">
        <v>86</v>
      </c>
      <c r="M137" s="5">
        <v>3</v>
      </c>
      <c r="N137" s="5">
        <f t="shared" si="7"/>
        <v>3</v>
      </c>
      <c r="O137" s="4">
        <v>152.96</v>
      </c>
      <c r="P137" s="6">
        <v>0.2</v>
      </c>
      <c r="Q137" s="4">
        <v>367.1</v>
      </c>
      <c r="R137" s="4">
        <f t="shared" si="8"/>
        <v>367.1</v>
      </c>
      <c r="S137" s="4">
        <v>-12.29</v>
      </c>
      <c r="T137" s="2" t="s">
        <v>87</v>
      </c>
      <c r="U137" s="2" t="s">
        <v>56</v>
      </c>
    </row>
    <row r="138" spans="1:21" x14ac:dyDescent="0.3">
      <c r="A138" s="2" t="s">
        <v>467</v>
      </c>
      <c r="B138" s="12">
        <v>44944</v>
      </c>
      <c r="C138" s="3" t="s">
        <v>469</v>
      </c>
      <c r="D138" s="2" t="s">
        <v>120</v>
      </c>
      <c r="E138" s="2" t="s">
        <v>45</v>
      </c>
      <c r="F138" s="2" t="s">
        <v>67</v>
      </c>
      <c r="G138" t="str">
        <f t="shared" si="6"/>
        <v>East</v>
      </c>
      <c r="H138" s="2" t="s">
        <v>84</v>
      </c>
      <c r="I138" s="2" t="s">
        <v>131</v>
      </c>
      <c r="J138" s="2" t="s">
        <v>78</v>
      </c>
      <c r="K138" s="2" t="s">
        <v>93</v>
      </c>
      <c r="L138" s="2" t="s">
        <v>110</v>
      </c>
      <c r="M138" s="5">
        <v>2</v>
      </c>
      <c r="N138" s="5">
        <f t="shared" si="7"/>
        <v>2</v>
      </c>
      <c r="O138" s="4">
        <v>441.11</v>
      </c>
      <c r="P138" s="6">
        <v>0.2</v>
      </c>
      <c r="Q138" s="4">
        <v>705.78</v>
      </c>
      <c r="R138" s="4">
        <f t="shared" si="8"/>
        <v>705.78</v>
      </c>
      <c r="S138" s="4">
        <v>-27.15</v>
      </c>
      <c r="T138" s="2" t="s">
        <v>29</v>
      </c>
      <c r="U138" s="2" t="s">
        <v>72</v>
      </c>
    </row>
    <row r="139" spans="1:21" x14ac:dyDescent="0.3">
      <c r="A139" s="2" t="s">
        <v>470</v>
      </c>
      <c r="B139" s="12">
        <v>45463</v>
      </c>
      <c r="C139" s="3" t="s">
        <v>472</v>
      </c>
      <c r="D139" s="2" t="s">
        <v>52</v>
      </c>
      <c r="E139" s="2" t="s">
        <v>35</v>
      </c>
      <c r="F139" s="2" t="s">
        <v>23</v>
      </c>
      <c r="G139" t="str">
        <f t="shared" si="6"/>
        <v>South</v>
      </c>
      <c r="H139" s="2" t="s">
        <v>108</v>
      </c>
      <c r="I139" s="2" t="s">
        <v>115</v>
      </c>
      <c r="J139" s="2" t="s">
        <v>38</v>
      </c>
      <c r="K139" s="2" t="s">
        <v>39</v>
      </c>
      <c r="L139" s="2" t="s">
        <v>165</v>
      </c>
      <c r="M139" s="5">
        <v>7</v>
      </c>
      <c r="N139" s="5">
        <f t="shared" si="7"/>
        <v>7</v>
      </c>
      <c r="O139" s="4">
        <v>73.319999999999993</v>
      </c>
      <c r="P139" s="6">
        <v>0.3</v>
      </c>
      <c r="Q139" s="4">
        <v>359.27</v>
      </c>
      <c r="R139" s="4">
        <f t="shared" si="8"/>
        <v>359.27</v>
      </c>
      <c r="S139" s="4">
        <v>-24.64</v>
      </c>
      <c r="T139" s="2" t="s">
        <v>87</v>
      </c>
      <c r="U139" s="2" t="s">
        <v>62</v>
      </c>
    </row>
    <row r="140" spans="1:21" x14ac:dyDescent="0.3">
      <c r="A140" s="2" t="s">
        <v>473</v>
      </c>
      <c r="B140" s="12">
        <v>45634</v>
      </c>
      <c r="C140" s="3" t="s">
        <v>475</v>
      </c>
      <c r="D140" s="2" t="s">
        <v>52</v>
      </c>
      <c r="E140" s="2" t="s">
        <v>22</v>
      </c>
      <c r="F140" s="2" t="s">
        <v>46</v>
      </c>
      <c r="G140" t="str">
        <f t="shared" si="6"/>
        <v>Central</v>
      </c>
      <c r="H140" s="2" t="s">
        <v>68</v>
      </c>
      <c r="I140" s="2" t="s">
        <v>69</v>
      </c>
      <c r="J140" s="2" t="s">
        <v>78</v>
      </c>
      <c r="K140" s="2" t="s">
        <v>93</v>
      </c>
      <c r="L140" s="2" t="s">
        <v>110</v>
      </c>
      <c r="M140" s="5">
        <v>8</v>
      </c>
      <c r="N140" s="5">
        <f t="shared" si="7"/>
        <v>8</v>
      </c>
      <c r="O140" s="4">
        <v>393.79</v>
      </c>
      <c r="P140" s="6">
        <v>0.3</v>
      </c>
      <c r="Q140" s="4">
        <v>2205.2199999999998</v>
      </c>
      <c r="R140" s="4">
        <f t="shared" si="8"/>
        <v>2205.2199999999998</v>
      </c>
      <c r="S140" s="4">
        <v>340.94</v>
      </c>
      <c r="T140" s="2" t="s">
        <v>87</v>
      </c>
      <c r="U140" s="2" t="s">
        <v>72</v>
      </c>
    </row>
    <row r="141" spans="1:21" x14ac:dyDescent="0.3">
      <c r="A141" s="2" t="s">
        <v>476</v>
      </c>
      <c r="B141" s="12">
        <v>45104</v>
      </c>
      <c r="C141" s="3" t="s">
        <v>477</v>
      </c>
      <c r="D141" s="2" t="s">
        <v>120</v>
      </c>
      <c r="E141" s="2" t="s">
        <v>35</v>
      </c>
      <c r="F141" s="2" t="s">
        <v>67</v>
      </c>
      <c r="G141" t="str">
        <f t="shared" si="6"/>
        <v>East</v>
      </c>
      <c r="H141" s="2" t="s">
        <v>47</v>
      </c>
      <c r="I141" s="2" t="s">
        <v>164</v>
      </c>
      <c r="J141" s="2" t="s">
        <v>78</v>
      </c>
      <c r="K141" s="2" t="s">
        <v>79</v>
      </c>
      <c r="L141" s="2" t="s">
        <v>378</v>
      </c>
      <c r="M141" s="5">
        <v>6</v>
      </c>
      <c r="N141" s="5">
        <f t="shared" si="7"/>
        <v>6</v>
      </c>
      <c r="O141" s="4">
        <v>249.45</v>
      </c>
      <c r="P141" s="6">
        <v>0.3</v>
      </c>
      <c r="Q141" s="4">
        <v>1047.69</v>
      </c>
      <c r="R141" s="4">
        <f t="shared" si="8"/>
        <v>1047.69</v>
      </c>
      <c r="S141" s="4">
        <v>183.47</v>
      </c>
      <c r="T141" s="2" t="s">
        <v>41</v>
      </c>
      <c r="U141" s="2" t="s">
        <v>62</v>
      </c>
    </row>
    <row r="142" spans="1:21" x14ac:dyDescent="0.3">
      <c r="A142" s="2" t="s">
        <v>478</v>
      </c>
      <c r="B142" s="12">
        <v>45222</v>
      </c>
      <c r="C142" s="3" t="s">
        <v>479</v>
      </c>
      <c r="D142" s="2" t="s">
        <v>91</v>
      </c>
      <c r="E142" s="2" t="s">
        <v>35</v>
      </c>
      <c r="F142" s="2" t="s">
        <v>23</v>
      </c>
      <c r="G142" t="str">
        <f t="shared" si="6"/>
        <v>South</v>
      </c>
      <c r="H142" s="2" t="s">
        <v>108</v>
      </c>
      <c r="I142" s="2" t="s">
        <v>157</v>
      </c>
      <c r="J142" s="2" t="s">
        <v>78</v>
      </c>
      <c r="K142" s="2" t="s">
        <v>79</v>
      </c>
      <c r="L142" s="2" t="s">
        <v>378</v>
      </c>
      <c r="M142" s="5">
        <v>8</v>
      </c>
      <c r="N142" s="5">
        <f t="shared" si="7"/>
        <v>8</v>
      </c>
      <c r="O142" s="4">
        <v>148.13</v>
      </c>
      <c r="P142" s="6">
        <v>0.1</v>
      </c>
      <c r="Q142" s="4">
        <v>1066.54</v>
      </c>
      <c r="R142" s="4">
        <f t="shared" si="8"/>
        <v>1066.54</v>
      </c>
      <c r="S142" s="4">
        <v>83</v>
      </c>
      <c r="T142" s="2" t="s">
        <v>41</v>
      </c>
      <c r="U142" s="2" t="s">
        <v>62</v>
      </c>
    </row>
    <row r="143" spans="1:21" x14ac:dyDescent="0.3">
      <c r="A143" s="2" t="s">
        <v>480</v>
      </c>
      <c r="B143" s="12">
        <v>44970</v>
      </c>
      <c r="C143" s="3" t="s">
        <v>481</v>
      </c>
      <c r="D143" s="2" t="s">
        <v>52</v>
      </c>
      <c r="E143" s="2" t="s">
        <v>35</v>
      </c>
      <c r="F143" s="2" t="s">
        <v>46</v>
      </c>
      <c r="G143" t="str">
        <f t="shared" si="6"/>
        <v>Central</v>
      </c>
      <c r="H143" s="2" t="s">
        <v>84</v>
      </c>
      <c r="I143" s="2" t="s">
        <v>201</v>
      </c>
      <c r="J143" s="2" t="s">
        <v>78</v>
      </c>
      <c r="K143" s="2" t="s">
        <v>79</v>
      </c>
      <c r="L143" s="2" t="s">
        <v>143</v>
      </c>
      <c r="M143" s="5">
        <v>2</v>
      </c>
      <c r="N143" s="5">
        <f t="shared" si="7"/>
        <v>2</v>
      </c>
      <c r="O143" s="4">
        <v>161.09</v>
      </c>
      <c r="P143" s="6">
        <v>0.15</v>
      </c>
      <c r="Q143" s="4">
        <v>273.85000000000002</v>
      </c>
      <c r="R143" s="4">
        <f t="shared" si="8"/>
        <v>273.85000000000002</v>
      </c>
      <c r="S143" s="4">
        <v>33.340000000000003</v>
      </c>
      <c r="T143" s="2" t="s">
        <v>41</v>
      </c>
      <c r="U143" s="2" t="s">
        <v>62</v>
      </c>
    </row>
    <row r="144" spans="1:21" x14ac:dyDescent="0.3">
      <c r="A144" s="2" t="s">
        <v>482</v>
      </c>
      <c r="B144" s="12">
        <v>45557</v>
      </c>
      <c r="C144" s="3" t="s">
        <v>312</v>
      </c>
      <c r="D144" s="2" t="s">
        <v>52</v>
      </c>
      <c r="E144" s="2" t="s">
        <v>35</v>
      </c>
      <c r="F144" s="2" t="s">
        <v>53</v>
      </c>
      <c r="G144" t="str">
        <f t="shared" si="6"/>
        <v>West</v>
      </c>
      <c r="H144" s="2" t="s">
        <v>108</v>
      </c>
      <c r="I144" s="2" t="s">
        <v>115</v>
      </c>
      <c r="J144" s="2" t="s">
        <v>38</v>
      </c>
      <c r="K144" s="2" t="s">
        <v>60</v>
      </c>
      <c r="L144" s="2" t="s">
        <v>132</v>
      </c>
      <c r="M144" s="5">
        <v>4</v>
      </c>
      <c r="N144" s="5">
        <f t="shared" si="7"/>
        <v>4</v>
      </c>
      <c r="O144" s="4">
        <v>115.17</v>
      </c>
      <c r="P144" s="6">
        <v>0.3</v>
      </c>
      <c r="Q144" s="4">
        <v>322.48</v>
      </c>
      <c r="R144" s="4">
        <f t="shared" si="8"/>
        <v>322.48</v>
      </c>
      <c r="S144" s="4">
        <v>76.23</v>
      </c>
      <c r="T144" s="2" t="s">
        <v>41</v>
      </c>
      <c r="U144" s="2" t="s">
        <v>72</v>
      </c>
    </row>
    <row r="145" spans="1:21" x14ac:dyDescent="0.3">
      <c r="A145" s="2" t="s">
        <v>483</v>
      </c>
      <c r="B145" s="12">
        <v>45624</v>
      </c>
      <c r="C145" s="3" t="s">
        <v>444</v>
      </c>
      <c r="D145" s="2" t="s">
        <v>91</v>
      </c>
      <c r="E145" s="2" t="s">
        <v>45</v>
      </c>
      <c r="F145" s="2" t="s">
        <v>46</v>
      </c>
      <c r="G145" t="str">
        <f t="shared" si="6"/>
        <v>Central</v>
      </c>
      <c r="H145" s="2" t="s">
        <v>68</v>
      </c>
      <c r="I145" s="2" t="s">
        <v>320</v>
      </c>
      <c r="J145" s="2" t="s">
        <v>38</v>
      </c>
      <c r="K145" s="2" t="s">
        <v>60</v>
      </c>
      <c r="L145" s="2" t="s">
        <v>61</v>
      </c>
      <c r="M145" s="5">
        <v>3</v>
      </c>
      <c r="N145" s="5">
        <f t="shared" si="7"/>
        <v>3</v>
      </c>
      <c r="O145" s="4">
        <v>187.85</v>
      </c>
      <c r="P145" s="6">
        <v>0.15</v>
      </c>
      <c r="Q145" s="4">
        <v>479.02</v>
      </c>
      <c r="R145" s="4">
        <f t="shared" si="8"/>
        <v>479.02</v>
      </c>
      <c r="S145" s="4">
        <v>18.98</v>
      </c>
      <c r="T145" s="2" t="s">
        <v>29</v>
      </c>
      <c r="U145" s="2" t="s">
        <v>30</v>
      </c>
    </row>
    <row r="146" spans="1:21" x14ac:dyDescent="0.3">
      <c r="A146" s="2" t="s">
        <v>485</v>
      </c>
      <c r="B146" s="12">
        <v>45514</v>
      </c>
      <c r="C146" s="3" t="s">
        <v>242</v>
      </c>
      <c r="D146" s="2" t="s">
        <v>147</v>
      </c>
      <c r="E146" s="2" t="s">
        <v>45</v>
      </c>
      <c r="F146" s="2" t="s">
        <v>23</v>
      </c>
      <c r="G146" t="str">
        <f t="shared" si="6"/>
        <v>South</v>
      </c>
      <c r="H146" s="2" t="s">
        <v>68</v>
      </c>
      <c r="I146" s="2" t="s">
        <v>77</v>
      </c>
      <c r="J146" s="2" t="s">
        <v>26</v>
      </c>
      <c r="K146" s="2" t="s">
        <v>27</v>
      </c>
      <c r="L146" s="2" t="s">
        <v>28</v>
      </c>
      <c r="M146" s="5">
        <v>1</v>
      </c>
      <c r="N146" s="5">
        <f t="shared" si="7"/>
        <v>1</v>
      </c>
      <c r="O146" s="4">
        <v>411.65</v>
      </c>
      <c r="P146" s="6">
        <v>0.05</v>
      </c>
      <c r="Q146" s="4">
        <v>391.07</v>
      </c>
      <c r="R146" s="4">
        <f t="shared" si="8"/>
        <v>391.07</v>
      </c>
      <c r="S146" s="4">
        <v>4.78</v>
      </c>
      <c r="T146" s="2" t="s">
        <v>41</v>
      </c>
      <c r="U146" s="2" t="s">
        <v>30</v>
      </c>
    </row>
    <row r="147" spans="1:21" x14ac:dyDescent="0.3">
      <c r="A147" s="2" t="s">
        <v>486</v>
      </c>
      <c r="B147" s="12">
        <v>45232</v>
      </c>
      <c r="C147" s="3" t="s">
        <v>297</v>
      </c>
      <c r="D147" s="2" t="s">
        <v>120</v>
      </c>
      <c r="E147" s="2" t="s">
        <v>35</v>
      </c>
      <c r="F147" s="2" t="s">
        <v>23</v>
      </c>
      <c r="G147" t="str">
        <f t="shared" si="6"/>
        <v>South</v>
      </c>
      <c r="H147" s="2" t="s">
        <v>36</v>
      </c>
      <c r="I147" s="2" t="s">
        <v>37</v>
      </c>
      <c r="J147" s="2" t="s">
        <v>38</v>
      </c>
      <c r="K147" s="2" t="s">
        <v>60</v>
      </c>
      <c r="L147" s="2" t="s">
        <v>132</v>
      </c>
      <c r="M147" s="5">
        <v>2</v>
      </c>
      <c r="N147" s="5">
        <f t="shared" si="7"/>
        <v>2</v>
      </c>
      <c r="O147" s="4">
        <v>418.38</v>
      </c>
      <c r="P147" s="6">
        <v>0.1</v>
      </c>
      <c r="Q147" s="4">
        <v>753.08</v>
      </c>
      <c r="R147" s="4">
        <f t="shared" si="8"/>
        <v>753.08</v>
      </c>
      <c r="T147" s="2" t="s">
        <v>55</v>
      </c>
      <c r="U147" s="2" t="s">
        <v>30</v>
      </c>
    </row>
    <row r="148" spans="1:21" x14ac:dyDescent="0.3">
      <c r="A148" s="2" t="s">
        <v>488</v>
      </c>
      <c r="B148" s="12">
        <v>45093</v>
      </c>
      <c r="C148" s="3" t="s">
        <v>489</v>
      </c>
      <c r="D148" s="2" t="s">
        <v>52</v>
      </c>
      <c r="E148" s="2" t="s">
        <v>35</v>
      </c>
      <c r="F148" s="2" t="s">
        <v>23</v>
      </c>
      <c r="G148" t="str">
        <f t="shared" si="6"/>
        <v>South</v>
      </c>
      <c r="H148" s="2" t="s">
        <v>108</v>
      </c>
      <c r="I148" s="2" t="s">
        <v>109</v>
      </c>
      <c r="J148" s="2" t="s">
        <v>78</v>
      </c>
      <c r="K148" s="2" t="s">
        <v>79</v>
      </c>
      <c r="L148" s="2" t="s">
        <v>378</v>
      </c>
      <c r="M148" s="5">
        <v>5</v>
      </c>
      <c r="N148" s="5">
        <f t="shared" si="7"/>
        <v>5</v>
      </c>
      <c r="O148" s="4">
        <v>325.62</v>
      </c>
      <c r="P148" s="6">
        <v>0</v>
      </c>
      <c r="Q148" s="4">
        <v>1628.1</v>
      </c>
      <c r="R148" s="4">
        <f t="shared" si="8"/>
        <v>1628.1</v>
      </c>
      <c r="S148" s="4">
        <v>258.61</v>
      </c>
      <c r="T148" s="2" t="s">
        <v>41</v>
      </c>
      <c r="U148" s="2" t="s">
        <v>30</v>
      </c>
    </row>
    <row r="149" spans="1:21" x14ac:dyDescent="0.3">
      <c r="A149" s="2" t="s">
        <v>490</v>
      </c>
      <c r="B149" s="12">
        <v>45612</v>
      </c>
      <c r="C149" s="3" t="s">
        <v>492</v>
      </c>
      <c r="D149" s="2" t="s">
        <v>52</v>
      </c>
      <c r="E149" s="2" t="s">
        <v>45</v>
      </c>
      <c r="F149" s="2" t="s">
        <v>46</v>
      </c>
      <c r="G149" t="str">
        <f t="shared" si="6"/>
        <v>Central</v>
      </c>
      <c r="H149" s="2" t="s">
        <v>24</v>
      </c>
      <c r="I149" s="2" t="s">
        <v>125</v>
      </c>
      <c r="J149" s="2" t="s">
        <v>78</v>
      </c>
      <c r="K149" s="2" t="s">
        <v>93</v>
      </c>
      <c r="L149" s="2" t="s">
        <v>202</v>
      </c>
      <c r="M149" s="5">
        <v>3</v>
      </c>
      <c r="N149" s="5">
        <f t="shared" si="7"/>
        <v>3</v>
      </c>
      <c r="O149" s="4">
        <v>219.03</v>
      </c>
      <c r="P149" s="6">
        <v>0.05</v>
      </c>
      <c r="Q149" s="4">
        <v>624.24</v>
      </c>
      <c r="R149" s="4">
        <f t="shared" si="8"/>
        <v>624.24</v>
      </c>
      <c r="S149" s="4">
        <v>-110.4</v>
      </c>
      <c r="T149" s="2" t="s">
        <v>41</v>
      </c>
      <c r="U149" s="2" t="s">
        <v>30</v>
      </c>
    </row>
    <row r="150" spans="1:21" x14ac:dyDescent="0.3">
      <c r="A150" s="2" t="s">
        <v>493</v>
      </c>
      <c r="B150" s="12">
        <v>45596</v>
      </c>
      <c r="C150" s="3" t="s">
        <v>494</v>
      </c>
      <c r="D150" s="2" t="s">
        <v>34</v>
      </c>
      <c r="E150" s="2" t="s">
        <v>22</v>
      </c>
      <c r="F150" s="2" t="s">
        <v>46</v>
      </c>
      <c r="G150" t="str">
        <f t="shared" si="6"/>
        <v>Central</v>
      </c>
      <c r="H150" s="2" t="s">
        <v>84</v>
      </c>
      <c r="I150" s="2" t="s">
        <v>201</v>
      </c>
      <c r="J150" s="2" t="s">
        <v>78</v>
      </c>
      <c r="K150" s="2" t="s">
        <v>79</v>
      </c>
      <c r="L150" s="2" t="s">
        <v>143</v>
      </c>
      <c r="M150" s="5">
        <v>4</v>
      </c>
      <c r="N150" s="5">
        <f t="shared" si="7"/>
        <v>4</v>
      </c>
      <c r="O150" s="4">
        <v>35.46</v>
      </c>
      <c r="P150" s="6">
        <v>0</v>
      </c>
      <c r="Q150" s="4">
        <v>141.84</v>
      </c>
      <c r="R150" s="4">
        <f t="shared" si="8"/>
        <v>141.84</v>
      </c>
      <c r="S150" s="4">
        <v>4.83</v>
      </c>
      <c r="T150" s="2" t="s">
        <v>29</v>
      </c>
      <c r="U150" s="2" t="s">
        <v>56</v>
      </c>
    </row>
    <row r="151" spans="1:21" x14ac:dyDescent="0.3">
      <c r="A151" s="2" t="s">
        <v>495</v>
      </c>
      <c r="B151" s="12">
        <v>45556</v>
      </c>
      <c r="C151" s="3" t="s">
        <v>497</v>
      </c>
      <c r="D151" s="2" t="s">
        <v>34</v>
      </c>
      <c r="E151" s="2" t="s">
        <v>22</v>
      </c>
      <c r="F151" s="2" t="s">
        <v>23</v>
      </c>
      <c r="G151" t="str">
        <f t="shared" si="6"/>
        <v>South</v>
      </c>
      <c r="H151" s="2" t="s">
        <v>68</v>
      </c>
      <c r="I151" s="2" t="s">
        <v>320</v>
      </c>
      <c r="J151" s="2" t="s">
        <v>78</v>
      </c>
      <c r="K151" s="2" t="s">
        <v>79</v>
      </c>
      <c r="L151" s="2" t="s">
        <v>143</v>
      </c>
      <c r="M151" s="5">
        <v>3</v>
      </c>
      <c r="N151" s="5">
        <f t="shared" si="7"/>
        <v>3</v>
      </c>
      <c r="O151" s="4">
        <v>219.36</v>
      </c>
      <c r="P151" s="6">
        <v>0.15</v>
      </c>
      <c r="Q151" s="4">
        <v>559.37</v>
      </c>
      <c r="R151" s="4">
        <f t="shared" si="8"/>
        <v>559.37</v>
      </c>
      <c r="S151" s="4">
        <v>91.71</v>
      </c>
      <c r="T151" s="2" t="s">
        <v>55</v>
      </c>
      <c r="U151" s="2" t="s">
        <v>62</v>
      </c>
    </row>
    <row r="152" spans="1:21" x14ac:dyDescent="0.3">
      <c r="A152" s="2" t="s">
        <v>498</v>
      </c>
      <c r="B152" s="12">
        <v>45537</v>
      </c>
      <c r="C152" s="3" t="s">
        <v>500</v>
      </c>
      <c r="D152" s="2" t="s">
        <v>147</v>
      </c>
      <c r="E152" s="2" t="s">
        <v>22</v>
      </c>
      <c r="F152" s="2" t="s">
        <v>67</v>
      </c>
      <c r="G152" t="str">
        <f t="shared" si="6"/>
        <v>East</v>
      </c>
      <c r="H152" s="2" t="s">
        <v>24</v>
      </c>
      <c r="I152" s="2" t="s">
        <v>25</v>
      </c>
      <c r="J152" s="2" t="s">
        <v>26</v>
      </c>
      <c r="K152" s="2" t="s">
        <v>27</v>
      </c>
      <c r="L152" s="2" t="s">
        <v>139</v>
      </c>
      <c r="M152" s="5">
        <v>8</v>
      </c>
      <c r="N152" s="5">
        <f t="shared" si="7"/>
        <v>8</v>
      </c>
      <c r="O152" s="4">
        <v>241.45</v>
      </c>
      <c r="P152" s="6">
        <v>0.1</v>
      </c>
      <c r="Q152" s="4">
        <v>1738.44</v>
      </c>
      <c r="R152" s="4">
        <f t="shared" si="8"/>
        <v>1738.44</v>
      </c>
      <c r="S152" s="4">
        <v>-250.46</v>
      </c>
      <c r="T152" s="2" t="s">
        <v>55</v>
      </c>
      <c r="U152" s="2" t="s">
        <v>62</v>
      </c>
    </row>
    <row r="153" spans="1:21" x14ac:dyDescent="0.3">
      <c r="A153" s="2" t="s">
        <v>501</v>
      </c>
      <c r="B153" s="12">
        <v>45459</v>
      </c>
      <c r="C153" s="3" t="s">
        <v>503</v>
      </c>
      <c r="D153" s="2" t="s">
        <v>120</v>
      </c>
      <c r="E153" s="2" t="s">
        <v>35</v>
      </c>
      <c r="F153" s="2" t="s">
        <v>23</v>
      </c>
      <c r="G153" t="str">
        <f t="shared" si="6"/>
        <v>South</v>
      </c>
      <c r="H153" s="2" t="s">
        <v>47</v>
      </c>
      <c r="I153" s="2" t="s">
        <v>121</v>
      </c>
      <c r="J153" s="2" t="s">
        <v>78</v>
      </c>
      <c r="K153" s="2" t="s">
        <v>79</v>
      </c>
      <c r="L153" s="2" t="s">
        <v>80</v>
      </c>
      <c r="M153" s="5">
        <v>4</v>
      </c>
      <c r="N153" s="5">
        <f t="shared" si="7"/>
        <v>4</v>
      </c>
      <c r="O153" s="4">
        <v>324.88</v>
      </c>
      <c r="P153" s="6">
        <v>0.15</v>
      </c>
      <c r="Q153" s="4">
        <v>1104.5899999999999</v>
      </c>
      <c r="R153" s="4">
        <f t="shared" si="8"/>
        <v>1104.5899999999999</v>
      </c>
      <c r="S153" s="4">
        <v>-152.62</v>
      </c>
      <c r="T153" s="2" t="s">
        <v>87</v>
      </c>
      <c r="U153" s="2" t="s">
        <v>72</v>
      </c>
    </row>
    <row r="154" spans="1:21" x14ac:dyDescent="0.3">
      <c r="A154" s="2" t="s">
        <v>504</v>
      </c>
      <c r="B154" s="12">
        <v>44986</v>
      </c>
      <c r="C154" s="3" t="s">
        <v>506</v>
      </c>
      <c r="D154" s="2" t="s">
        <v>52</v>
      </c>
      <c r="E154" s="2" t="s">
        <v>22</v>
      </c>
      <c r="F154" s="2" t="s">
        <v>53</v>
      </c>
      <c r="G154" t="str">
        <f t="shared" si="6"/>
        <v>West</v>
      </c>
      <c r="H154" s="2" t="s">
        <v>36</v>
      </c>
      <c r="I154" s="2" t="s">
        <v>92</v>
      </c>
      <c r="J154" s="2" t="s">
        <v>26</v>
      </c>
      <c r="K154" s="2" t="s">
        <v>70</v>
      </c>
      <c r="L154" s="2" t="s">
        <v>71</v>
      </c>
      <c r="M154" s="5">
        <v>5</v>
      </c>
      <c r="N154" s="5">
        <f t="shared" si="7"/>
        <v>5</v>
      </c>
      <c r="O154" s="4">
        <v>327.69</v>
      </c>
      <c r="P154" s="6">
        <v>0.15</v>
      </c>
      <c r="Q154" s="4">
        <v>1392.68</v>
      </c>
      <c r="R154" s="4">
        <f t="shared" si="8"/>
        <v>1392.68</v>
      </c>
      <c r="S154" s="4">
        <v>-87.67</v>
      </c>
      <c r="T154" s="2" t="s">
        <v>87</v>
      </c>
      <c r="U154" s="2" t="s">
        <v>56</v>
      </c>
    </row>
    <row r="155" spans="1:21" x14ac:dyDescent="0.3">
      <c r="A155" s="2" t="s">
        <v>507</v>
      </c>
      <c r="B155" s="12">
        <v>44992</v>
      </c>
      <c r="C155" s="3" t="s">
        <v>112</v>
      </c>
      <c r="D155" s="2" t="s">
        <v>76</v>
      </c>
      <c r="E155" s="2" t="s">
        <v>35</v>
      </c>
      <c r="F155" s="2" t="s">
        <v>23</v>
      </c>
      <c r="G155" t="str">
        <f t="shared" si="6"/>
        <v>South</v>
      </c>
      <c r="H155" s="2" t="s">
        <v>36</v>
      </c>
      <c r="I155" s="2" t="s">
        <v>54</v>
      </c>
      <c r="J155" s="2" t="s">
        <v>26</v>
      </c>
      <c r="K155" s="2" t="s">
        <v>27</v>
      </c>
      <c r="L155" s="2" t="s">
        <v>179</v>
      </c>
      <c r="M155" s="5">
        <v>2</v>
      </c>
      <c r="N155" s="5">
        <f t="shared" si="7"/>
        <v>2</v>
      </c>
      <c r="O155" s="4">
        <v>443.87</v>
      </c>
      <c r="P155" s="6">
        <v>0.15</v>
      </c>
      <c r="Q155" s="4">
        <v>754.58</v>
      </c>
      <c r="R155" s="4">
        <f t="shared" si="8"/>
        <v>754.58</v>
      </c>
      <c r="S155" s="4">
        <v>-124.81</v>
      </c>
      <c r="T155" s="2" t="s">
        <v>87</v>
      </c>
      <c r="U155" s="2" t="s">
        <v>72</v>
      </c>
    </row>
    <row r="156" spans="1:21" x14ac:dyDescent="0.3">
      <c r="A156" s="2" t="s">
        <v>508</v>
      </c>
      <c r="B156" s="12">
        <v>45311</v>
      </c>
      <c r="C156" s="3" t="s">
        <v>510</v>
      </c>
      <c r="D156" s="2" t="s">
        <v>34</v>
      </c>
      <c r="E156" s="2" t="s">
        <v>22</v>
      </c>
      <c r="F156" s="2" t="s">
        <v>67</v>
      </c>
      <c r="G156" t="str">
        <f t="shared" si="6"/>
        <v>East</v>
      </c>
      <c r="H156" s="2" t="s">
        <v>24</v>
      </c>
      <c r="I156" s="2" t="s">
        <v>25</v>
      </c>
      <c r="J156" s="2" t="s">
        <v>78</v>
      </c>
      <c r="K156" s="2" t="s">
        <v>93</v>
      </c>
      <c r="L156" s="2" t="s">
        <v>110</v>
      </c>
      <c r="M156" s="5">
        <v>3</v>
      </c>
      <c r="N156" s="5">
        <f t="shared" si="7"/>
        <v>3</v>
      </c>
      <c r="O156" s="4">
        <v>296.86</v>
      </c>
      <c r="P156" s="6">
        <v>0.1</v>
      </c>
      <c r="Q156" s="4">
        <v>801.52</v>
      </c>
      <c r="R156" s="4">
        <f t="shared" si="8"/>
        <v>801.52</v>
      </c>
      <c r="S156" s="4">
        <v>-100.53</v>
      </c>
      <c r="T156" s="2" t="s">
        <v>55</v>
      </c>
      <c r="U156" s="2" t="s">
        <v>30</v>
      </c>
    </row>
    <row r="157" spans="1:21" x14ac:dyDescent="0.3">
      <c r="A157" s="2" t="s">
        <v>511</v>
      </c>
      <c r="B157" s="12">
        <v>45232</v>
      </c>
      <c r="C157" s="3" t="s">
        <v>512</v>
      </c>
      <c r="D157" s="2" t="s">
        <v>76</v>
      </c>
      <c r="E157" s="2" t="s">
        <v>45</v>
      </c>
      <c r="F157" s="2" t="s">
        <v>67</v>
      </c>
      <c r="G157" t="str">
        <f t="shared" si="6"/>
        <v>East</v>
      </c>
      <c r="H157" s="2" t="s">
        <v>47</v>
      </c>
      <c r="I157" s="2" t="s">
        <v>164</v>
      </c>
      <c r="J157" s="2" t="s">
        <v>38</v>
      </c>
      <c r="K157" s="2" t="s">
        <v>60</v>
      </c>
      <c r="L157" s="2" t="s">
        <v>61</v>
      </c>
      <c r="M157" s="5">
        <v>7</v>
      </c>
      <c r="N157" s="5">
        <f t="shared" si="7"/>
        <v>7</v>
      </c>
      <c r="O157" s="4">
        <v>243.11</v>
      </c>
      <c r="P157" s="6">
        <v>0.05</v>
      </c>
      <c r="Q157" s="4">
        <v>1616.68</v>
      </c>
      <c r="R157" s="4">
        <f t="shared" si="8"/>
        <v>1616.68</v>
      </c>
      <c r="S157" s="4">
        <v>-106.93</v>
      </c>
      <c r="T157" s="2" t="s">
        <v>29</v>
      </c>
      <c r="U157" s="2" t="s">
        <v>30</v>
      </c>
    </row>
    <row r="158" spans="1:21" x14ac:dyDescent="0.3">
      <c r="A158" s="2" t="s">
        <v>513</v>
      </c>
      <c r="B158" s="12">
        <v>45356</v>
      </c>
      <c r="C158" s="3" t="s">
        <v>515</v>
      </c>
      <c r="D158" s="2" t="s">
        <v>147</v>
      </c>
      <c r="E158" s="2" t="s">
        <v>35</v>
      </c>
      <c r="F158" s="2" t="s">
        <v>53</v>
      </c>
      <c r="G158" t="str">
        <f t="shared" si="6"/>
        <v>West</v>
      </c>
      <c r="H158" s="2" t="s">
        <v>36</v>
      </c>
      <c r="I158" s="2" t="s">
        <v>54</v>
      </c>
      <c r="J158" s="2" t="s">
        <v>26</v>
      </c>
      <c r="K158" s="2" t="s">
        <v>27</v>
      </c>
      <c r="L158" s="2" t="s">
        <v>179</v>
      </c>
      <c r="M158" s="5">
        <v>4</v>
      </c>
      <c r="N158" s="5">
        <f t="shared" si="7"/>
        <v>4</v>
      </c>
      <c r="O158" s="4">
        <v>99.09</v>
      </c>
      <c r="P158" s="6">
        <v>0</v>
      </c>
      <c r="Q158" s="4">
        <v>396.36</v>
      </c>
      <c r="R158" s="4">
        <f t="shared" si="8"/>
        <v>396.36</v>
      </c>
      <c r="S158" s="4">
        <v>36.950000000000003</v>
      </c>
      <c r="T158" s="2" t="s">
        <v>87</v>
      </c>
      <c r="U158" s="2" t="s">
        <v>62</v>
      </c>
    </row>
    <row r="159" spans="1:21" x14ac:dyDescent="0.3">
      <c r="A159" s="2" t="s">
        <v>516</v>
      </c>
      <c r="B159" s="12">
        <v>45149</v>
      </c>
      <c r="C159" s="3" t="s">
        <v>167</v>
      </c>
      <c r="D159" s="2" t="s">
        <v>52</v>
      </c>
      <c r="E159" s="2" t="s">
        <v>45</v>
      </c>
      <c r="F159" s="2" t="s">
        <v>67</v>
      </c>
      <c r="G159" t="str">
        <f t="shared" si="6"/>
        <v>East</v>
      </c>
      <c r="H159" s="2" t="s">
        <v>24</v>
      </c>
      <c r="I159" s="2" t="s">
        <v>125</v>
      </c>
      <c r="J159" s="2" t="s">
        <v>26</v>
      </c>
      <c r="K159" s="2" t="s">
        <v>70</v>
      </c>
      <c r="L159" s="2" t="s">
        <v>86</v>
      </c>
      <c r="M159" s="5">
        <v>5</v>
      </c>
      <c r="N159" s="5">
        <f t="shared" si="7"/>
        <v>5</v>
      </c>
      <c r="O159" s="4">
        <v>111.5</v>
      </c>
      <c r="P159" s="6">
        <v>0.3</v>
      </c>
      <c r="Q159" s="4">
        <v>390.25</v>
      </c>
      <c r="R159" s="4">
        <f t="shared" si="8"/>
        <v>390.25</v>
      </c>
      <c r="S159" s="4">
        <v>33.18</v>
      </c>
      <c r="T159" s="2" t="s">
        <v>55</v>
      </c>
      <c r="U159" s="2" t="s">
        <v>72</v>
      </c>
    </row>
    <row r="160" spans="1:21" x14ac:dyDescent="0.3">
      <c r="A160" s="2" t="s">
        <v>518</v>
      </c>
      <c r="B160" s="12">
        <v>45208</v>
      </c>
      <c r="C160" s="3" t="s">
        <v>318</v>
      </c>
      <c r="D160" s="2" t="s">
        <v>66</v>
      </c>
      <c r="E160" s="2" t="s">
        <v>22</v>
      </c>
      <c r="F160" s="2" t="s">
        <v>23</v>
      </c>
      <c r="G160" t="str">
        <f t="shared" si="6"/>
        <v>South</v>
      </c>
      <c r="H160" s="2" t="s">
        <v>24</v>
      </c>
      <c r="I160" s="2" t="s">
        <v>25</v>
      </c>
      <c r="J160" s="2" t="s">
        <v>78</v>
      </c>
      <c r="K160" s="2" t="s">
        <v>79</v>
      </c>
      <c r="L160" s="2" t="s">
        <v>143</v>
      </c>
      <c r="M160" s="5">
        <v>3</v>
      </c>
      <c r="N160" s="5">
        <f t="shared" si="7"/>
        <v>3</v>
      </c>
      <c r="O160" s="4">
        <v>284.69</v>
      </c>
      <c r="P160" s="6">
        <v>0.15</v>
      </c>
      <c r="Q160" s="4">
        <v>725.96</v>
      </c>
      <c r="R160" s="4">
        <f t="shared" si="8"/>
        <v>725.96</v>
      </c>
      <c r="S160" s="4">
        <v>54.95</v>
      </c>
      <c r="T160" s="2" t="s">
        <v>41</v>
      </c>
      <c r="U160" s="2" t="s">
        <v>72</v>
      </c>
    </row>
    <row r="161" spans="1:21" x14ac:dyDescent="0.3">
      <c r="A161" s="2" t="s">
        <v>520</v>
      </c>
      <c r="B161" s="12">
        <v>45079</v>
      </c>
      <c r="C161" s="3" t="s">
        <v>363</v>
      </c>
      <c r="D161" s="2" t="s">
        <v>91</v>
      </c>
      <c r="E161" s="2" t="s">
        <v>22</v>
      </c>
      <c r="F161" s="2" t="s">
        <v>67</v>
      </c>
      <c r="G161" t="str">
        <f t="shared" si="6"/>
        <v>East</v>
      </c>
      <c r="H161" s="2" t="s">
        <v>84</v>
      </c>
      <c r="I161" s="2" t="s">
        <v>131</v>
      </c>
      <c r="J161" s="2" t="s">
        <v>78</v>
      </c>
      <c r="K161" s="2" t="s">
        <v>93</v>
      </c>
      <c r="L161" s="2" t="s">
        <v>202</v>
      </c>
      <c r="M161" s="5">
        <v>3</v>
      </c>
      <c r="N161" s="5">
        <f t="shared" si="7"/>
        <v>3</v>
      </c>
      <c r="O161" s="4">
        <v>341.45</v>
      </c>
      <c r="P161" s="6">
        <v>0.15</v>
      </c>
      <c r="Q161" s="4">
        <v>870.7</v>
      </c>
      <c r="R161" s="4">
        <f t="shared" si="8"/>
        <v>870.7</v>
      </c>
      <c r="S161" s="4">
        <v>-60.21</v>
      </c>
      <c r="T161" s="2" t="s">
        <v>29</v>
      </c>
      <c r="U161" s="2" t="s">
        <v>72</v>
      </c>
    </row>
    <row r="162" spans="1:21" x14ac:dyDescent="0.3">
      <c r="A162" s="2" t="s">
        <v>522</v>
      </c>
      <c r="B162" s="12">
        <v>45497</v>
      </c>
      <c r="C162" s="3" t="s">
        <v>524</v>
      </c>
      <c r="D162" s="2" t="s">
        <v>120</v>
      </c>
      <c r="E162" s="2" t="s">
        <v>45</v>
      </c>
      <c r="F162" s="2" t="s">
        <v>53</v>
      </c>
      <c r="G162" t="str">
        <f t="shared" si="6"/>
        <v>West</v>
      </c>
      <c r="H162" s="2" t="s">
        <v>36</v>
      </c>
      <c r="I162" s="2" t="s">
        <v>54</v>
      </c>
      <c r="J162" s="2" t="s">
        <v>78</v>
      </c>
      <c r="K162" s="2" t="s">
        <v>93</v>
      </c>
      <c r="L162" s="2" t="s">
        <v>110</v>
      </c>
      <c r="M162" s="5">
        <v>7</v>
      </c>
      <c r="N162" s="5">
        <f t="shared" si="7"/>
        <v>7</v>
      </c>
      <c r="O162" s="4">
        <v>115.34</v>
      </c>
      <c r="P162" s="6">
        <v>0.05</v>
      </c>
      <c r="Q162" s="4">
        <v>767.01</v>
      </c>
      <c r="R162" s="4">
        <f t="shared" si="8"/>
        <v>767.01</v>
      </c>
      <c r="S162" s="4">
        <v>-21.54</v>
      </c>
      <c r="T162" s="2" t="s">
        <v>55</v>
      </c>
      <c r="U162" s="2" t="s">
        <v>30</v>
      </c>
    </row>
    <row r="163" spans="1:21" x14ac:dyDescent="0.3">
      <c r="A163" s="2" t="s">
        <v>525</v>
      </c>
      <c r="B163" s="12">
        <v>45313</v>
      </c>
      <c r="C163" s="3" t="s">
        <v>527</v>
      </c>
      <c r="D163" s="2" t="s">
        <v>52</v>
      </c>
      <c r="E163" s="2" t="s">
        <v>45</v>
      </c>
      <c r="F163" s="2" t="s">
        <v>67</v>
      </c>
      <c r="G163" t="str">
        <f t="shared" si="6"/>
        <v>East</v>
      </c>
      <c r="H163" s="2" t="s">
        <v>108</v>
      </c>
      <c r="I163" s="2" t="s">
        <v>115</v>
      </c>
      <c r="J163" s="2" t="s">
        <v>78</v>
      </c>
      <c r="K163" s="2" t="s">
        <v>79</v>
      </c>
      <c r="L163" s="2" t="s">
        <v>378</v>
      </c>
      <c r="M163" s="5">
        <v>1</v>
      </c>
      <c r="N163" s="5">
        <f t="shared" si="7"/>
        <v>1</v>
      </c>
      <c r="O163" s="4">
        <v>394.14</v>
      </c>
      <c r="P163" s="6">
        <v>0.05</v>
      </c>
      <c r="Q163" s="4">
        <v>374.43</v>
      </c>
      <c r="R163" s="4">
        <f t="shared" si="8"/>
        <v>374.43</v>
      </c>
      <c r="S163" s="4">
        <v>71.19</v>
      </c>
      <c r="T163" s="2" t="s">
        <v>41</v>
      </c>
      <c r="U163" s="2" t="s">
        <v>30</v>
      </c>
    </row>
    <row r="164" spans="1:21" x14ac:dyDescent="0.3">
      <c r="A164" s="2" t="s">
        <v>528</v>
      </c>
      <c r="B164" s="12">
        <v>45121</v>
      </c>
      <c r="C164" s="3" t="s">
        <v>530</v>
      </c>
      <c r="D164" s="2" t="s">
        <v>34</v>
      </c>
      <c r="E164" s="2" t="s">
        <v>35</v>
      </c>
      <c r="F164" s="2" t="s">
        <v>46</v>
      </c>
      <c r="G164" t="str">
        <f t="shared" si="6"/>
        <v>Central</v>
      </c>
      <c r="H164" s="2" t="s">
        <v>108</v>
      </c>
      <c r="I164" s="2" t="s">
        <v>157</v>
      </c>
      <c r="J164" s="2" t="s">
        <v>38</v>
      </c>
      <c r="K164" s="2" t="s">
        <v>39</v>
      </c>
      <c r="L164" s="2" t="s">
        <v>165</v>
      </c>
      <c r="M164" s="5">
        <v>8</v>
      </c>
      <c r="N164" s="5">
        <f t="shared" si="7"/>
        <v>8</v>
      </c>
      <c r="O164" s="4">
        <v>412.18</v>
      </c>
      <c r="P164" s="6">
        <v>0.3</v>
      </c>
      <c r="Q164" s="4">
        <v>2308.21</v>
      </c>
      <c r="R164" s="4">
        <f t="shared" si="8"/>
        <v>2308.21</v>
      </c>
      <c r="S164" s="4">
        <v>226.26</v>
      </c>
      <c r="T164" s="2" t="s">
        <v>87</v>
      </c>
      <c r="U164" s="2" t="s">
        <v>72</v>
      </c>
    </row>
    <row r="165" spans="1:21" x14ac:dyDescent="0.3">
      <c r="A165" s="2" t="s">
        <v>531</v>
      </c>
      <c r="B165" s="12">
        <v>45591</v>
      </c>
      <c r="C165" s="3" t="s">
        <v>494</v>
      </c>
      <c r="D165" s="2" t="s">
        <v>66</v>
      </c>
      <c r="E165" s="2" t="s">
        <v>35</v>
      </c>
      <c r="F165" s="2" t="s">
        <v>46</v>
      </c>
      <c r="G165" t="str">
        <f t="shared" si="6"/>
        <v>Central</v>
      </c>
      <c r="H165" s="2" t="s">
        <v>84</v>
      </c>
      <c r="I165" s="2" t="s">
        <v>131</v>
      </c>
      <c r="J165" s="2" t="s">
        <v>26</v>
      </c>
      <c r="K165" s="2" t="s">
        <v>70</v>
      </c>
      <c r="L165" s="2" t="s">
        <v>222</v>
      </c>
      <c r="M165" s="5">
        <v>5</v>
      </c>
      <c r="N165" s="5">
        <f t="shared" si="7"/>
        <v>5</v>
      </c>
      <c r="O165" s="4">
        <v>166.96</v>
      </c>
      <c r="P165" s="6">
        <v>0.15</v>
      </c>
      <c r="Q165" s="4">
        <v>709.58</v>
      </c>
      <c r="R165" s="4">
        <f t="shared" si="8"/>
        <v>709.58</v>
      </c>
      <c r="S165" s="4">
        <v>24.38</v>
      </c>
      <c r="T165" s="2" t="s">
        <v>87</v>
      </c>
      <c r="U165" s="2" t="s">
        <v>30</v>
      </c>
    </row>
    <row r="166" spans="1:21" x14ac:dyDescent="0.3">
      <c r="A166" s="2" t="s">
        <v>533</v>
      </c>
      <c r="B166" s="12">
        <v>45153</v>
      </c>
      <c r="C166" s="3" t="s">
        <v>168</v>
      </c>
      <c r="D166" s="2" t="s">
        <v>91</v>
      </c>
      <c r="E166" s="2" t="s">
        <v>35</v>
      </c>
      <c r="F166" s="2" t="s">
        <v>67</v>
      </c>
      <c r="G166" t="str">
        <f t="shared" si="6"/>
        <v>East</v>
      </c>
      <c r="H166" s="2" t="s">
        <v>108</v>
      </c>
      <c r="I166" s="2" t="s">
        <v>157</v>
      </c>
      <c r="J166" s="2" t="s">
        <v>26</v>
      </c>
      <c r="K166" s="2" t="s">
        <v>70</v>
      </c>
      <c r="L166" s="2" t="s">
        <v>222</v>
      </c>
      <c r="M166" s="5">
        <v>1</v>
      </c>
      <c r="N166" s="5">
        <f t="shared" si="7"/>
        <v>1</v>
      </c>
      <c r="O166" s="4">
        <v>123.26</v>
      </c>
      <c r="P166" s="6">
        <v>0.2</v>
      </c>
      <c r="Q166" s="4">
        <v>98.61</v>
      </c>
      <c r="R166" s="4">
        <f t="shared" si="8"/>
        <v>98.61</v>
      </c>
      <c r="S166" s="4">
        <v>8.52</v>
      </c>
      <c r="T166" s="2" t="s">
        <v>55</v>
      </c>
      <c r="U166" s="2" t="s">
        <v>72</v>
      </c>
    </row>
    <row r="167" spans="1:21" x14ac:dyDescent="0.3">
      <c r="A167" s="2" t="s">
        <v>535</v>
      </c>
      <c r="B167" s="12">
        <v>45178</v>
      </c>
      <c r="C167" s="3" t="s">
        <v>537</v>
      </c>
      <c r="D167" s="2" t="s">
        <v>120</v>
      </c>
      <c r="E167" s="2" t="s">
        <v>35</v>
      </c>
      <c r="F167" s="2" t="s">
        <v>46</v>
      </c>
      <c r="G167" t="str">
        <f t="shared" si="6"/>
        <v>Central</v>
      </c>
      <c r="H167" s="2" t="s">
        <v>47</v>
      </c>
      <c r="I167" s="2" t="s">
        <v>164</v>
      </c>
      <c r="J167" s="2" t="s">
        <v>26</v>
      </c>
      <c r="K167" s="2" t="s">
        <v>70</v>
      </c>
      <c r="L167" s="2" t="s">
        <v>71</v>
      </c>
      <c r="M167" s="5">
        <v>6</v>
      </c>
      <c r="N167" s="5">
        <f t="shared" si="7"/>
        <v>6</v>
      </c>
      <c r="O167" s="4">
        <v>121.74</v>
      </c>
      <c r="P167" s="6">
        <v>0.15</v>
      </c>
      <c r="Q167" s="4">
        <v>620.87</v>
      </c>
      <c r="R167" s="4">
        <f t="shared" si="8"/>
        <v>620.87</v>
      </c>
      <c r="S167" s="4">
        <v>164.28</v>
      </c>
      <c r="T167" s="2" t="s">
        <v>55</v>
      </c>
      <c r="U167" s="2" t="s">
        <v>72</v>
      </c>
    </row>
    <row r="168" spans="1:21" x14ac:dyDescent="0.3">
      <c r="A168" s="2" t="s">
        <v>538</v>
      </c>
      <c r="B168" s="12">
        <v>45482</v>
      </c>
      <c r="C168" s="3" t="s">
        <v>539</v>
      </c>
      <c r="D168" s="2" t="s">
        <v>147</v>
      </c>
      <c r="E168" s="2" t="s">
        <v>45</v>
      </c>
      <c r="F168" s="2" t="s">
        <v>67</v>
      </c>
      <c r="G168" t="str">
        <f t="shared" si="6"/>
        <v>East</v>
      </c>
      <c r="H168" s="2" t="s">
        <v>108</v>
      </c>
      <c r="I168" s="2" t="s">
        <v>157</v>
      </c>
      <c r="J168" s="2" t="s">
        <v>38</v>
      </c>
      <c r="K168" s="2" t="s">
        <v>39</v>
      </c>
      <c r="L168" s="2" t="s">
        <v>40</v>
      </c>
      <c r="M168" s="5">
        <v>-3</v>
      </c>
      <c r="N168" s="5" t="str">
        <f t="shared" si="7"/>
        <v/>
      </c>
      <c r="O168" s="4">
        <v>378.87</v>
      </c>
      <c r="P168" s="6">
        <v>0</v>
      </c>
      <c r="Q168" s="4">
        <v>378.87</v>
      </c>
      <c r="R168" s="4">
        <f t="shared" si="8"/>
        <v>378.87</v>
      </c>
      <c r="S168" s="4">
        <v>96.53</v>
      </c>
      <c r="T168" s="2" t="s">
        <v>55</v>
      </c>
      <c r="U168" s="2" t="s">
        <v>30</v>
      </c>
    </row>
    <row r="169" spans="1:21" x14ac:dyDescent="0.3">
      <c r="A169" s="2" t="s">
        <v>540</v>
      </c>
      <c r="B169" s="12">
        <v>45081</v>
      </c>
      <c r="C169" s="3" t="s">
        <v>542</v>
      </c>
      <c r="D169" s="2" t="s">
        <v>120</v>
      </c>
      <c r="E169" s="2" t="s">
        <v>35</v>
      </c>
      <c r="F169" s="2" t="s">
        <v>53</v>
      </c>
      <c r="G169" t="str">
        <f t="shared" si="6"/>
        <v>West</v>
      </c>
      <c r="H169" s="2" t="s">
        <v>24</v>
      </c>
      <c r="I169" s="2" t="s">
        <v>125</v>
      </c>
      <c r="J169" s="2" t="s">
        <v>26</v>
      </c>
      <c r="K169" s="2" t="s">
        <v>27</v>
      </c>
      <c r="L169" s="2" t="s">
        <v>139</v>
      </c>
      <c r="M169" s="5">
        <v>8</v>
      </c>
      <c r="N169" s="5">
        <f t="shared" si="7"/>
        <v>8</v>
      </c>
      <c r="O169" s="4">
        <v>172.95</v>
      </c>
      <c r="P169" s="6">
        <v>0.2</v>
      </c>
      <c r="Q169" s="4">
        <v>1106.8800000000001</v>
      </c>
      <c r="R169" s="4">
        <f t="shared" si="8"/>
        <v>1106.8800000000001</v>
      </c>
      <c r="S169" s="4">
        <v>125.47</v>
      </c>
      <c r="T169" s="2" t="s">
        <v>87</v>
      </c>
      <c r="U169" s="2" t="s">
        <v>30</v>
      </c>
    </row>
    <row r="170" spans="1:21" x14ac:dyDescent="0.3">
      <c r="A170" s="2" t="s">
        <v>543</v>
      </c>
      <c r="B170" s="12">
        <v>45469</v>
      </c>
      <c r="C170" s="3" t="s">
        <v>545</v>
      </c>
      <c r="D170" s="2" t="s">
        <v>21</v>
      </c>
      <c r="E170" s="2" t="s">
        <v>35</v>
      </c>
      <c r="F170" s="2" t="s">
        <v>67</v>
      </c>
      <c r="G170" t="str">
        <f t="shared" si="6"/>
        <v>East</v>
      </c>
      <c r="H170" s="2" t="s">
        <v>108</v>
      </c>
      <c r="I170" s="2" t="s">
        <v>109</v>
      </c>
      <c r="J170" s="2" t="s">
        <v>38</v>
      </c>
      <c r="K170" s="2" t="s">
        <v>60</v>
      </c>
      <c r="L170" s="2" t="s">
        <v>116</v>
      </c>
      <c r="M170" s="5">
        <v>5</v>
      </c>
      <c r="N170" s="5">
        <f t="shared" si="7"/>
        <v>5</v>
      </c>
      <c r="O170" s="4">
        <v>15.58</v>
      </c>
      <c r="P170" s="6">
        <v>0.3</v>
      </c>
      <c r="Q170" s="4">
        <v>54.53</v>
      </c>
      <c r="R170" s="4">
        <f t="shared" si="8"/>
        <v>54.53</v>
      </c>
      <c r="S170" s="4">
        <v>7.09</v>
      </c>
      <c r="T170" s="2" t="s">
        <v>55</v>
      </c>
      <c r="U170" s="2" t="s">
        <v>56</v>
      </c>
    </row>
    <row r="171" spans="1:21" x14ac:dyDescent="0.3">
      <c r="A171" s="2" t="s">
        <v>546</v>
      </c>
      <c r="B171" s="12">
        <v>45200</v>
      </c>
      <c r="C171" s="3" t="s">
        <v>547</v>
      </c>
      <c r="D171" s="2" t="s">
        <v>91</v>
      </c>
      <c r="E171" s="2" t="s">
        <v>22</v>
      </c>
      <c r="F171" s="2" t="s">
        <v>53</v>
      </c>
      <c r="G171" t="str">
        <f t="shared" si="6"/>
        <v>West</v>
      </c>
      <c r="H171" s="2" t="s">
        <v>47</v>
      </c>
      <c r="I171" s="2" t="s">
        <v>121</v>
      </c>
      <c r="J171" s="2" t="s">
        <v>78</v>
      </c>
      <c r="K171" s="2" t="s">
        <v>79</v>
      </c>
      <c r="L171" s="2" t="s">
        <v>143</v>
      </c>
      <c r="M171" s="5">
        <v>6</v>
      </c>
      <c r="N171" s="5">
        <f t="shared" si="7"/>
        <v>6</v>
      </c>
      <c r="O171" s="4">
        <v>432.01</v>
      </c>
      <c r="P171" s="6">
        <v>0.15</v>
      </c>
      <c r="Q171" s="4">
        <v>2203.25</v>
      </c>
      <c r="R171" s="4">
        <f t="shared" si="8"/>
        <v>2203.25</v>
      </c>
      <c r="S171" s="4">
        <v>176.04</v>
      </c>
      <c r="T171" s="2" t="s">
        <v>29</v>
      </c>
      <c r="U171" s="2" t="s">
        <v>30</v>
      </c>
    </row>
    <row r="172" spans="1:21" x14ac:dyDescent="0.3">
      <c r="A172" s="2" t="s">
        <v>548</v>
      </c>
      <c r="B172" s="12">
        <v>45315</v>
      </c>
      <c r="C172" s="3" t="s">
        <v>89</v>
      </c>
      <c r="D172" s="2" t="s">
        <v>120</v>
      </c>
      <c r="E172" s="2" t="s">
        <v>45</v>
      </c>
      <c r="F172" s="2" t="s">
        <v>46</v>
      </c>
      <c r="G172" t="str">
        <f t="shared" si="6"/>
        <v>Central</v>
      </c>
      <c r="H172" s="2" t="s">
        <v>47</v>
      </c>
      <c r="I172" s="2" t="s">
        <v>164</v>
      </c>
      <c r="J172" s="2" t="s">
        <v>78</v>
      </c>
      <c r="K172" s="2" t="s">
        <v>93</v>
      </c>
      <c r="L172" s="2" t="s">
        <v>110</v>
      </c>
      <c r="M172" s="5">
        <v>8</v>
      </c>
      <c r="N172" s="5">
        <f t="shared" si="7"/>
        <v>8</v>
      </c>
      <c r="O172" s="4">
        <v>32.799999999999997</v>
      </c>
      <c r="P172" s="6">
        <v>0</v>
      </c>
      <c r="Q172" s="4">
        <v>262.39999999999998</v>
      </c>
      <c r="R172" s="4">
        <f t="shared" si="8"/>
        <v>262.39999999999998</v>
      </c>
      <c r="S172" s="4">
        <v>37.6</v>
      </c>
      <c r="T172" s="2" t="s">
        <v>29</v>
      </c>
      <c r="U172" s="2" t="s">
        <v>30</v>
      </c>
    </row>
    <row r="173" spans="1:21" x14ac:dyDescent="0.3">
      <c r="A173" s="2" t="s">
        <v>550</v>
      </c>
      <c r="B173" s="12">
        <v>45143</v>
      </c>
      <c r="C173" s="3" t="s">
        <v>551</v>
      </c>
      <c r="D173" s="2" t="s">
        <v>147</v>
      </c>
      <c r="E173" s="2" t="s">
        <v>35</v>
      </c>
      <c r="F173" s="2" t="s">
        <v>46</v>
      </c>
      <c r="G173" t="str">
        <f t="shared" si="6"/>
        <v>Central</v>
      </c>
      <c r="H173" s="2" t="s">
        <v>108</v>
      </c>
      <c r="I173" s="2" t="s">
        <v>115</v>
      </c>
      <c r="J173" s="2" t="s">
        <v>38</v>
      </c>
      <c r="K173" s="2" t="s">
        <v>39</v>
      </c>
      <c r="L173" s="2" t="s">
        <v>98</v>
      </c>
      <c r="M173" s="5">
        <v>8</v>
      </c>
      <c r="N173" s="5">
        <f t="shared" si="7"/>
        <v>8</v>
      </c>
      <c r="O173" s="4">
        <v>127.82</v>
      </c>
      <c r="P173" s="6">
        <v>0</v>
      </c>
      <c r="Q173" s="4">
        <v>1022.56</v>
      </c>
      <c r="R173" s="4">
        <f t="shared" si="8"/>
        <v>1022.56</v>
      </c>
      <c r="S173" s="4">
        <v>137.88</v>
      </c>
      <c r="T173" s="2" t="s">
        <v>55</v>
      </c>
      <c r="U173" s="2" t="s">
        <v>62</v>
      </c>
    </row>
    <row r="174" spans="1:21" x14ac:dyDescent="0.3">
      <c r="A174" s="2" t="s">
        <v>552</v>
      </c>
      <c r="B174" s="12">
        <v>45334</v>
      </c>
      <c r="C174" s="3" t="s">
        <v>553</v>
      </c>
      <c r="D174" s="2" t="s">
        <v>66</v>
      </c>
      <c r="E174" s="2" t="s">
        <v>45</v>
      </c>
      <c r="F174" s="2" t="s">
        <v>67</v>
      </c>
      <c r="G174" t="str">
        <f t="shared" si="6"/>
        <v>East</v>
      </c>
      <c r="H174" s="2" t="s">
        <v>24</v>
      </c>
      <c r="I174" s="2" t="s">
        <v>59</v>
      </c>
      <c r="J174" s="2" t="s">
        <v>26</v>
      </c>
      <c r="K174" s="2" t="s">
        <v>27</v>
      </c>
      <c r="L174" s="2" t="s">
        <v>139</v>
      </c>
      <c r="M174" s="5">
        <v>3</v>
      </c>
      <c r="N174" s="5">
        <f t="shared" si="7"/>
        <v>3</v>
      </c>
      <c r="O174" s="4">
        <v>257.27</v>
      </c>
      <c r="P174" s="6">
        <v>0.2</v>
      </c>
      <c r="Q174" s="4">
        <v>617.45000000000005</v>
      </c>
      <c r="R174" s="4">
        <f t="shared" si="8"/>
        <v>617.45000000000005</v>
      </c>
      <c r="S174" s="4">
        <v>125.92</v>
      </c>
      <c r="T174" s="2" t="s">
        <v>29</v>
      </c>
      <c r="U174" s="2" t="s">
        <v>56</v>
      </c>
    </row>
    <row r="175" spans="1:21" x14ac:dyDescent="0.3">
      <c r="A175" s="2" t="s">
        <v>554</v>
      </c>
      <c r="B175" s="12">
        <v>45027</v>
      </c>
      <c r="C175" s="3" t="s">
        <v>556</v>
      </c>
      <c r="D175" s="2" t="s">
        <v>66</v>
      </c>
      <c r="E175" s="2" t="s">
        <v>35</v>
      </c>
      <c r="F175" s="2" t="s">
        <v>46</v>
      </c>
      <c r="G175" t="str">
        <f t="shared" si="6"/>
        <v>Central</v>
      </c>
      <c r="H175" s="2" t="s">
        <v>47</v>
      </c>
      <c r="I175" s="2" t="s">
        <v>121</v>
      </c>
      <c r="J175" s="2" t="s">
        <v>38</v>
      </c>
      <c r="K175" s="2" t="s">
        <v>60</v>
      </c>
      <c r="L175" s="2" t="s">
        <v>132</v>
      </c>
      <c r="M175" s="5">
        <v>2</v>
      </c>
      <c r="N175" s="5">
        <f t="shared" si="7"/>
        <v>2</v>
      </c>
      <c r="O175" s="4">
        <v>158.54</v>
      </c>
      <c r="P175" s="6">
        <v>0.2</v>
      </c>
      <c r="Q175" s="4">
        <v>253.66</v>
      </c>
      <c r="R175" s="4">
        <f t="shared" si="8"/>
        <v>253.66</v>
      </c>
      <c r="S175" s="4">
        <v>65.760000000000005</v>
      </c>
      <c r="T175" s="2" t="s">
        <v>87</v>
      </c>
      <c r="U175" s="2" t="s">
        <v>62</v>
      </c>
    </row>
    <row r="176" spans="1:21" x14ac:dyDescent="0.3">
      <c r="A176" s="2" t="s">
        <v>557</v>
      </c>
      <c r="B176" s="12">
        <v>45493</v>
      </c>
      <c r="C176" s="3" t="s">
        <v>559</v>
      </c>
      <c r="D176" s="2" t="s">
        <v>52</v>
      </c>
      <c r="E176" s="2" t="s">
        <v>22</v>
      </c>
      <c r="F176" s="2" t="s">
        <v>53</v>
      </c>
      <c r="G176" t="str">
        <f t="shared" si="6"/>
        <v>West</v>
      </c>
      <c r="H176" s="2" t="s">
        <v>47</v>
      </c>
      <c r="I176" s="2" t="s">
        <v>48</v>
      </c>
      <c r="J176" s="2" t="s">
        <v>78</v>
      </c>
      <c r="K176" s="2" t="s">
        <v>79</v>
      </c>
      <c r="L176" s="2" t="s">
        <v>80</v>
      </c>
      <c r="M176" s="5">
        <v>3</v>
      </c>
      <c r="N176" s="5">
        <f t="shared" si="7"/>
        <v>3</v>
      </c>
      <c r="O176" s="4">
        <v>308.43</v>
      </c>
      <c r="P176" s="6">
        <v>0.3</v>
      </c>
      <c r="Q176" s="4">
        <v>647.70000000000005</v>
      </c>
      <c r="R176" s="4">
        <f t="shared" si="8"/>
        <v>647.70000000000005</v>
      </c>
      <c r="S176" s="4">
        <v>-3.35</v>
      </c>
      <c r="T176" s="2" t="s">
        <v>41</v>
      </c>
      <c r="U176" s="2" t="s">
        <v>62</v>
      </c>
    </row>
    <row r="177" spans="1:21" x14ac:dyDescent="0.3">
      <c r="A177" s="2" t="s">
        <v>560</v>
      </c>
      <c r="B177" s="12">
        <v>45655</v>
      </c>
      <c r="C177" s="3" t="s">
        <v>562</v>
      </c>
      <c r="D177" s="2" t="s">
        <v>120</v>
      </c>
      <c r="E177" s="2" t="s">
        <v>45</v>
      </c>
      <c r="F177" s="2" t="s">
        <v>46</v>
      </c>
      <c r="G177" t="str">
        <f t="shared" si="6"/>
        <v>Central</v>
      </c>
      <c r="H177" s="2" t="s">
        <v>108</v>
      </c>
      <c r="I177" s="2" t="s">
        <v>157</v>
      </c>
      <c r="J177" s="2" t="s">
        <v>78</v>
      </c>
      <c r="K177" s="2" t="s">
        <v>93</v>
      </c>
      <c r="L177" s="2" t="s">
        <v>94</v>
      </c>
      <c r="M177" s="5">
        <v>7</v>
      </c>
      <c r="N177" s="5">
        <f t="shared" si="7"/>
        <v>7</v>
      </c>
      <c r="O177" s="4">
        <v>147.97</v>
      </c>
      <c r="P177" s="6">
        <v>0</v>
      </c>
      <c r="Q177" s="4">
        <v>1035.79</v>
      </c>
      <c r="R177" s="4">
        <f t="shared" si="8"/>
        <v>1035.79</v>
      </c>
      <c r="S177" s="4">
        <v>-142.84</v>
      </c>
      <c r="T177" s="2" t="s">
        <v>55</v>
      </c>
      <c r="U177" s="2" t="s">
        <v>30</v>
      </c>
    </row>
    <row r="178" spans="1:21" x14ac:dyDescent="0.3">
      <c r="A178" s="2" t="s">
        <v>563</v>
      </c>
      <c r="B178" s="12">
        <v>45368</v>
      </c>
      <c r="C178" s="3" t="s">
        <v>565</v>
      </c>
      <c r="D178" s="2" t="s">
        <v>66</v>
      </c>
      <c r="E178" s="2" t="s">
        <v>45</v>
      </c>
      <c r="F178" s="2" t="s">
        <v>53</v>
      </c>
      <c r="G178" t="str">
        <f t="shared" si="6"/>
        <v>West</v>
      </c>
      <c r="H178" s="2" t="s">
        <v>47</v>
      </c>
      <c r="I178" s="2" t="s">
        <v>164</v>
      </c>
      <c r="J178" s="2" t="s">
        <v>38</v>
      </c>
      <c r="K178" s="2" t="s">
        <v>39</v>
      </c>
      <c r="L178" s="2" t="s">
        <v>165</v>
      </c>
      <c r="M178" s="5">
        <v>7</v>
      </c>
      <c r="N178" s="5">
        <f t="shared" si="7"/>
        <v>7</v>
      </c>
      <c r="O178" s="4">
        <v>53.66</v>
      </c>
      <c r="P178" s="6">
        <v>0</v>
      </c>
      <c r="Q178" s="4">
        <v>375.62</v>
      </c>
      <c r="R178" s="4">
        <f t="shared" si="8"/>
        <v>375.62</v>
      </c>
      <c r="S178" s="4">
        <v>-6.46</v>
      </c>
      <c r="T178" s="2" t="s">
        <v>87</v>
      </c>
      <c r="U178" s="2" t="s">
        <v>72</v>
      </c>
    </row>
    <row r="179" spans="1:21" x14ac:dyDescent="0.3">
      <c r="A179" s="2" t="s">
        <v>566</v>
      </c>
      <c r="B179" s="12">
        <v>45499</v>
      </c>
      <c r="C179" s="3" t="s">
        <v>567</v>
      </c>
      <c r="D179" s="2" t="s">
        <v>91</v>
      </c>
      <c r="E179" s="2" t="s">
        <v>45</v>
      </c>
      <c r="F179" s="2" t="s">
        <v>67</v>
      </c>
      <c r="G179" t="str">
        <f t="shared" si="6"/>
        <v>East</v>
      </c>
      <c r="H179" s="2" t="s">
        <v>68</v>
      </c>
      <c r="I179" s="2" t="s">
        <v>77</v>
      </c>
      <c r="J179" s="2" t="s">
        <v>38</v>
      </c>
      <c r="K179" s="2" t="s">
        <v>60</v>
      </c>
      <c r="L179" s="2" t="s">
        <v>116</v>
      </c>
      <c r="M179" s="5">
        <v>3</v>
      </c>
      <c r="N179" s="5">
        <f t="shared" si="7"/>
        <v>3</v>
      </c>
      <c r="O179" s="4">
        <v>310.91000000000003</v>
      </c>
      <c r="P179" s="6">
        <v>0.05</v>
      </c>
      <c r="Q179" s="4">
        <v>886.09</v>
      </c>
      <c r="R179" s="4">
        <f t="shared" si="8"/>
        <v>886.09</v>
      </c>
      <c r="S179" s="4">
        <v>-102.9</v>
      </c>
      <c r="T179" s="2" t="s">
        <v>55</v>
      </c>
      <c r="U179" s="2" t="s">
        <v>72</v>
      </c>
    </row>
    <row r="180" spans="1:21" x14ac:dyDescent="0.3">
      <c r="A180" s="2" t="s">
        <v>568</v>
      </c>
      <c r="B180" s="12">
        <v>45358</v>
      </c>
      <c r="C180" s="3" t="s">
        <v>570</v>
      </c>
      <c r="D180" s="2" t="s">
        <v>52</v>
      </c>
      <c r="E180" s="2" t="s">
        <v>45</v>
      </c>
      <c r="F180" s="2" t="s">
        <v>53</v>
      </c>
      <c r="G180" t="str">
        <f t="shared" si="6"/>
        <v>West</v>
      </c>
      <c r="H180" s="2" t="s">
        <v>84</v>
      </c>
      <c r="I180" s="2" t="s">
        <v>131</v>
      </c>
      <c r="J180" s="2" t="s">
        <v>78</v>
      </c>
      <c r="K180" s="2" t="s">
        <v>79</v>
      </c>
      <c r="L180" s="2" t="s">
        <v>80</v>
      </c>
      <c r="M180" s="5">
        <v>2</v>
      </c>
      <c r="N180" s="5">
        <f t="shared" si="7"/>
        <v>2</v>
      </c>
      <c r="O180" s="4">
        <v>167.62</v>
      </c>
      <c r="P180" s="6">
        <v>0.05</v>
      </c>
      <c r="Q180" s="4">
        <v>318.48</v>
      </c>
      <c r="R180" s="4">
        <f t="shared" si="8"/>
        <v>318.48</v>
      </c>
      <c r="S180" s="4">
        <v>48.29</v>
      </c>
      <c r="T180" s="2" t="s">
        <v>41</v>
      </c>
      <c r="U180" s="2" t="s">
        <v>30</v>
      </c>
    </row>
    <row r="181" spans="1:21" x14ac:dyDescent="0.3">
      <c r="A181" s="2" t="s">
        <v>571</v>
      </c>
      <c r="B181" s="12">
        <v>45267</v>
      </c>
      <c r="C181" s="3" t="s">
        <v>572</v>
      </c>
      <c r="D181" s="2" t="s">
        <v>91</v>
      </c>
      <c r="E181" s="2" t="s">
        <v>45</v>
      </c>
      <c r="F181" s="2" t="s">
        <v>67</v>
      </c>
      <c r="G181" t="str">
        <f t="shared" si="6"/>
        <v>East</v>
      </c>
      <c r="H181" s="2" t="s">
        <v>36</v>
      </c>
      <c r="I181" s="2" t="s">
        <v>92</v>
      </c>
      <c r="J181" s="2" t="s">
        <v>78</v>
      </c>
      <c r="K181" s="2" t="s">
        <v>93</v>
      </c>
      <c r="L181" s="2" t="s">
        <v>202</v>
      </c>
      <c r="M181" s="5">
        <v>6</v>
      </c>
      <c r="N181" s="5">
        <f t="shared" si="7"/>
        <v>6</v>
      </c>
      <c r="O181" s="4">
        <v>202.58</v>
      </c>
      <c r="P181" s="6">
        <v>0.15</v>
      </c>
      <c r="Q181" s="4">
        <v>1033.1600000000001</v>
      </c>
      <c r="R181" s="4">
        <f t="shared" si="8"/>
        <v>1033.1600000000001</v>
      </c>
      <c r="S181" s="4">
        <v>201.59</v>
      </c>
      <c r="T181" s="2" t="s">
        <v>41</v>
      </c>
      <c r="U181" s="2" t="s">
        <v>62</v>
      </c>
    </row>
    <row r="182" spans="1:21" x14ac:dyDescent="0.3">
      <c r="A182" s="2" t="s">
        <v>573</v>
      </c>
      <c r="B182" s="12">
        <v>45253</v>
      </c>
      <c r="C182" s="3" t="s">
        <v>258</v>
      </c>
      <c r="D182" s="2" t="s">
        <v>34</v>
      </c>
      <c r="E182" s="2" t="s">
        <v>45</v>
      </c>
      <c r="F182" s="2" t="s">
        <v>53</v>
      </c>
      <c r="G182" t="str">
        <f t="shared" si="6"/>
        <v>West</v>
      </c>
      <c r="H182" s="2" t="s">
        <v>84</v>
      </c>
      <c r="I182" s="2" t="s">
        <v>201</v>
      </c>
      <c r="J182" s="2" t="s">
        <v>78</v>
      </c>
      <c r="K182" s="2" t="s">
        <v>93</v>
      </c>
      <c r="L182" s="2" t="s">
        <v>110</v>
      </c>
      <c r="M182" s="5">
        <v>8</v>
      </c>
      <c r="N182" s="5">
        <f t="shared" si="7"/>
        <v>8</v>
      </c>
      <c r="O182" s="4">
        <v>435.75</v>
      </c>
      <c r="P182" s="6">
        <v>0.05</v>
      </c>
      <c r="Q182" s="4">
        <v>3311.7</v>
      </c>
      <c r="R182" s="4">
        <f t="shared" si="8"/>
        <v>3311.7</v>
      </c>
      <c r="S182" s="4">
        <v>-99.66</v>
      </c>
      <c r="T182" s="2" t="s">
        <v>55</v>
      </c>
      <c r="U182" s="2" t="s">
        <v>62</v>
      </c>
    </row>
    <row r="183" spans="1:21" x14ac:dyDescent="0.3">
      <c r="A183" s="2" t="s">
        <v>574</v>
      </c>
      <c r="B183" s="12">
        <v>45490</v>
      </c>
      <c r="C183" s="3" t="s">
        <v>575</v>
      </c>
      <c r="D183" s="2" t="s">
        <v>21</v>
      </c>
      <c r="E183" s="2" t="s">
        <v>45</v>
      </c>
      <c r="F183" s="2" t="s">
        <v>23</v>
      </c>
      <c r="G183" t="str">
        <f t="shared" si="6"/>
        <v>South</v>
      </c>
      <c r="H183" s="2" t="s">
        <v>24</v>
      </c>
      <c r="I183" s="2" t="s">
        <v>25</v>
      </c>
      <c r="J183" s="2" t="s">
        <v>26</v>
      </c>
      <c r="K183" s="2" t="s">
        <v>27</v>
      </c>
      <c r="L183" s="2" t="s">
        <v>28</v>
      </c>
      <c r="M183" s="5">
        <v>8</v>
      </c>
      <c r="N183" s="5">
        <f t="shared" si="7"/>
        <v>8</v>
      </c>
      <c r="O183" s="4">
        <v>424.79</v>
      </c>
      <c r="P183" s="6">
        <v>0.05</v>
      </c>
      <c r="Q183" s="4">
        <v>3228.4</v>
      </c>
      <c r="R183" s="4">
        <f t="shared" si="8"/>
        <v>3228.4</v>
      </c>
      <c r="S183" s="4">
        <v>70.02</v>
      </c>
      <c r="T183" s="2" t="s">
        <v>41</v>
      </c>
      <c r="U183" s="2" t="s">
        <v>62</v>
      </c>
    </row>
    <row r="184" spans="1:21" x14ac:dyDescent="0.3">
      <c r="A184" s="2" t="s">
        <v>576</v>
      </c>
      <c r="B184" s="12">
        <v>45601</v>
      </c>
      <c r="C184" s="3" t="s">
        <v>578</v>
      </c>
      <c r="D184" s="2" t="s">
        <v>34</v>
      </c>
      <c r="E184" s="2" t="s">
        <v>22</v>
      </c>
      <c r="F184" s="2" t="s">
        <v>23</v>
      </c>
      <c r="G184" t="str">
        <f t="shared" si="6"/>
        <v>South</v>
      </c>
      <c r="H184" s="2" t="s">
        <v>68</v>
      </c>
      <c r="I184" s="2" t="s">
        <v>77</v>
      </c>
      <c r="J184" s="2" t="s">
        <v>78</v>
      </c>
      <c r="K184" s="2" t="s">
        <v>79</v>
      </c>
      <c r="L184" s="2" t="s">
        <v>143</v>
      </c>
      <c r="M184" s="5">
        <v>7</v>
      </c>
      <c r="N184" s="5">
        <f t="shared" si="7"/>
        <v>7</v>
      </c>
      <c r="O184" s="4">
        <v>356.77</v>
      </c>
      <c r="P184" s="6">
        <v>0</v>
      </c>
      <c r="Q184" s="4">
        <v>2497.39</v>
      </c>
      <c r="R184" s="4">
        <f t="shared" si="8"/>
        <v>2497.39</v>
      </c>
      <c r="S184" s="4">
        <v>66.36</v>
      </c>
      <c r="T184" s="2" t="s">
        <v>29</v>
      </c>
      <c r="U184" s="2" t="s">
        <v>56</v>
      </c>
    </row>
    <row r="185" spans="1:21" x14ac:dyDescent="0.3">
      <c r="A185" s="2" t="s">
        <v>579</v>
      </c>
      <c r="B185" s="12">
        <v>45476</v>
      </c>
      <c r="C185" s="3" t="s">
        <v>134</v>
      </c>
      <c r="D185" s="2" t="s">
        <v>76</v>
      </c>
      <c r="E185" s="2" t="s">
        <v>22</v>
      </c>
      <c r="F185" s="2" t="s">
        <v>53</v>
      </c>
      <c r="G185" t="str">
        <f t="shared" si="6"/>
        <v>West</v>
      </c>
      <c r="H185" s="2" t="s">
        <v>36</v>
      </c>
      <c r="I185" s="2" t="s">
        <v>37</v>
      </c>
      <c r="J185" s="2" t="s">
        <v>26</v>
      </c>
      <c r="K185" s="2" t="s">
        <v>27</v>
      </c>
      <c r="L185" s="2" t="s">
        <v>139</v>
      </c>
      <c r="M185" s="5">
        <v>2</v>
      </c>
      <c r="N185" s="5">
        <f t="shared" si="7"/>
        <v>2</v>
      </c>
      <c r="P185" s="6">
        <v>0.05</v>
      </c>
      <c r="Q185" s="4">
        <v>107.05</v>
      </c>
      <c r="R185" s="4">
        <f t="shared" si="8"/>
        <v>107.05</v>
      </c>
      <c r="S185" s="4">
        <v>13.11</v>
      </c>
      <c r="T185" s="2" t="s">
        <v>87</v>
      </c>
      <c r="U185" s="2" t="s">
        <v>56</v>
      </c>
    </row>
    <row r="186" spans="1:21" x14ac:dyDescent="0.3">
      <c r="A186" s="2" t="s">
        <v>581</v>
      </c>
      <c r="B186" s="12">
        <v>45035</v>
      </c>
      <c r="C186" s="3" t="s">
        <v>583</v>
      </c>
      <c r="D186" s="2" t="s">
        <v>120</v>
      </c>
      <c r="E186" s="2" t="s">
        <v>45</v>
      </c>
      <c r="F186" s="2" t="s">
        <v>23</v>
      </c>
      <c r="G186" t="str">
        <f t="shared" si="6"/>
        <v>South</v>
      </c>
      <c r="H186" s="2" t="s">
        <v>24</v>
      </c>
      <c r="I186" s="2" t="s">
        <v>125</v>
      </c>
      <c r="J186" s="2" t="s">
        <v>78</v>
      </c>
      <c r="K186" s="2" t="s">
        <v>93</v>
      </c>
      <c r="L186" s="2" t="s">
        <v>202</v>
      </c>
      <c r="M186" s="5">
        <v>5</v>
      </c>
      <c r="N186" s="5">
        <f t="shared" si="7"/>
        <v>5</v>
      </c>
      <c r="O186" s="4">
        <v>106.12</v>
      </c>
      <c r="P186" s="6">
        <v>0.3</v>
      </c>
      <c r="Q186" s="4">
        <v>371.42</v>
      </c>
      <c r="R186" s="4">
        <f t="shared" si="8"/>
        <v>371.42</v>
      </c>
      <c r="S186" s="4">
        <v>21.78</v>
      </c>
      <c r="T186" s="2" t="s">
        <v>55</v>
      </c>
      <c r="U186" s="2" t="s">
        <v>56</v>
      </c>
    </row>
    <row r="187" spans="1:21" x14ac:dyDescent="0.3">
      <c r="A187" s="2" t="s">
        <v>584</v>
      </c>
      <c r="B187" s="12">
        <v>45421</v>
      </c>
      <c r="C187" s="3" t="s">
        <v>103</v>
      </c>
      <c r="D187" s="2" t="s">
        <v>66</v>
      </c>
      <c r="E187" s="2" t="s">
        <v>45</v>
      </c>
      <c r="F187" s="2" t="s">
        <v>46</v>
      </c>
      <c r="G187" t="str">
        <f t="shared" si="6"/>
        <v>Central</v>
      </c>
      <c r="H187" s="2" t="s">
        <v>24</v>
      </c>
      <c r="I187" s="2" t="s">
        <v>59</v>
      </c>
      <c r="J187" s="2" t="s">
        <v>38</v>
      </c>
      <c r="K187" s="2" t="s">
        <v>60</v>
      </c>
      <c r="L187" s="2" t="s">
        <v>132</v>
      </c>
      <c r="M187" s="5">
        <v>7</v>
      </c>
      <c r="N187" s="5">
        <f t="shared" si="7"/>
        <v>7</v>
      </c>
      <c r="O187" s="4">
        <v>414.88</v>
      </c>
      <c r="P187" s="6">
        <v>0</v>
      </c>
      <c r="Q187" s="4">
        <v>2904.16</v>
      </c>
      <c r="R187" s="4">
        <f t="shared" si="8"/>
        <v>2904.16</v>
      </c>
      <c r="S187" s="4">
        <v>-367.69</v>
      </c>
      <c r="T187" s="2" t="s">
        <v>55</v>
      </c>
      <c r="U187" s="2" t="s">
        <v>72</v>
      </c>
    </row>
    <row r="188" spans="1:21" x14ac:dyDescent="0.3">
      <c r="A188" s="2" t="s">
        <v>586</v>
      </c>
      <c r="B188" s="12">
        <v>45414</v>
      </c>
      <c r="C188" s="3" t="s">
        <v>588</v>
      </c>
      <c r="D188" s="2" t="s">
        <v>147</v>
      </c>
      <c r="E188" s="2" t="s">
        <v>45</v>
      </c>
      <c r="F188" s="2" t="s">
        <v>53</v>
      </c>
      <c r="G188" t="str">
        <f t="shared" si="6"/>
        <v>West</v>
      </c>
      <c r="H188" s="2" t="s">
        <v>24</v>
      </c>
      <c r="I188" s="2" t="s">
        <v>59</v>
      </c>
      <c r="J188" s="2" t="s">
        <v>78</v>
      </c>
      <c r="K188" s="2" t="s">
        <v>79</v>
      </c>
      <c r="L188" s="2" t="s">
        <v>143</v>
      </c>
      <c r="M188" s="5">
        <v>8</v>
      </c>
      <c r="N188" s="5">
        <f t="shared" si="7"/>
        <v>8</v>
      </c>
      <c r="O188" s="4">
        <v>148.96</v>
      </c>
      <c r="P188" s="6">
        <v>0.1</v>
      </c>
      <c r="Q188" s="4">
        <v>1072.51</v>
      </c>
      <c r="R188" s="4">
        <f t="shared" si="8"/>
        <v>1072.51</v>
      </c>
      <c r="S188" s="4">
        <v>-171.01</v>
      </c>
      <c r="T188" s="2" t="s">
        <v>55</v>
      </c>
      <c r="U188" s="2" t="s">
        <v>62</v>
      </c>
    </row>
    <row r="189" spans="1:21" x14ac:dyDescent="0.3">
      <c r="A189" s="2" t="s">
        <v>589</v>
      </c>
      <c r="B189" s="12">
        <v>45105</v>
      </c>
      <c r="C189" s="3" t="s">
        <v>249</v>
      </c>
      <c r="D189" s="2" t="s">
        <v>76</v>
      </c>
      <c r="E189" s="2" t="s">
        <v>35</v>
      </c>
      <c r="F189" s="2" t="s">
        <v>23</v>
      </c>
      <c r="G189" t="str">
        <f t="shared" si="6"/>
        <v>South</v>
      </c>
      <c r="H189" s="2" t="s">
        <v>36</v>
      </c>
      <c r="I189" s="2" t="s">
        <v>54</v>
      </c>
      <c r="J189" s="2" t="s">
        <v>26</v>
      </c>
      <c r="K189" s="2" t="s">
        <v>70</v>
      </c>
      <c r="L189" s="2" t="s">
        <v>222</v>
      </c>
      <c r="M189" s="5">
        <v>6</v>
      </c>
      <c r="N189" s="5">
        <f t="shared" si="7"/>
        <v>6</v>
      </c>
      <c r="O189" s="4">
        <v>255.45</v>
      </c>
      <c r="P189" s="6">
        <v>0.15</v>
      </c>
      <c r="Q189" s="4">
        <v>1302.79</v>
      </c>
      <c r="R189" s="4">
        <f t="shared" si="8"/>
        <v>1302.79</v>
      </c>
      <c r="S189" s="4">
        <v>-95.56</v>
      </c>
      <c r="T189" s="2" t="s">
        <v>29</v>
      </c>
      <c r="U189" s="2" t="s">
        <v>62</v>
      </c>
    </row>
    <row r="190" spans="1:21" x14ac:dyDescent="0.3">
      <c r="A190" s="2" t="s">
        <v>591</v>
      </c>
      <c r="B190" s="12">
        <v>45533</v>
      </c>
      <c r="C190" s="3" t="s">
        <v>593</v>
      </c>
      <c r="D190" s="2" t="s">
        <v>21</v>
      </c>
      <c r="E190" s="2" t="s">
        <v>22</v>
      </c>
      <c r="F190" s="2" t="s">
        <v>67</v>
      </c>
      <c r="G190" t="str">
        <f t="shared" si="6"/>
        <v>East</v>
      </c>
      <c r="H190" s="2" t="s">
        <v>47</v>
      </c>
      <c r="I190" s="2" t="s">
        <v>48</v>
      </c>
      <c r="J190" s="2" t="s">
        <v>78</v>
      </c>
      <c r="K190" s="2" t="s">
        <v>93</v>
      </c>
      <c r="L190" s="2" t="s">
        <v>202</v>
      </c>
      <c r="M190" s="5">
        <v>1</v>
      </c>
      <c r="N190" s="5">
        <f t="shared" si="7"/>
        <v>1</v>
      </c>
      <c r="O190" s="4">
        <v>319.49</v>
      </c>
      <c r="P190" s="6">
        <v>0.05</v>
      </c>
      <c r="Q190" s="4">
        <v>303.52</v>
      </c>
      <c r="R190" s="4">
        <f t="shared" si="8"/>
        <v>303.52</v>
      </c>
      <c r="S190" s="4">
        <v>-15.77</v>
      </c>
      <c r="T190" s="2" t="s">
        <v>41</v>
      </c>
      <c r="U190" s="2" t="s">
        <v>62</v>
      </c>
    </row>
    <row r="191" spans="1:21" x14ac:dyDescent="0.3">
      <c r="A191" s="2" t="s">
        <v>594</v>
      </c>
      <c r="B191" s="12">
        <v>45043</v>
      </c>
      <c r="C191" s="3" t="s">
        <v>20</v>
      </c>
      <c r="D191" s="2" t="s">
        <v>34</v>
      </c>
      <c r="E191" s="2" t="s">
        <v>22</v>
      </c>
      <c r="F191" s="2" t="s">
        <v>53</v>
      </c>
      <c r="G191" t="str">
        <f t="shared" si="6"/>
        <v>West</v>
      </c>
      <c r="H191" s="2" t="s">
        <v>84</v>
      </c>
      <c r="I191" s="2" t="s">
        <v>201</v>
      </c>
      <c r="J191" s="2" t="s">
        <v>78</v>
      </c>
      <c r="K191" s="2" t="s">
        <v>93</v>
      </c>
      <c r="L191" s="2" t="s">
        <v>202</v>
      </c>
      <c r="M191" s="5">
        <v>8</v>
      </c>
      <c r="N191" s="5">
        <f t="shared" si="7"/>
        <v>8</v>
      </c>
      <c r="O191" s="4">
        <v>241.25</v>
      </c>
      <c r="P191" s="6">
        <v>0.3</v>
      </c>
      <c r="Q191" s="4">
        <v>1351</v>
      </c>
      <c r="R191" s="4">
        <f t="shared" si="8"/>
        <v>1351</v>
      </c>
      <c r="S191" s="4">
        <v>-48.41</v>
      </c>
      <c r="T191" s="2" t="s">
        <v>41</v>
      </c>
      <c r="U191" s="2" t="s">
        <v>72</v>
      </c>
    </row>
    <row r="192" spans="1:21" x14ac:dyDescent="0.3">
      <c r="A192" s="2" t="s">
        <v>595</v>
      </c>
      <c r="B192" s="12">
        <v>45103</v>
      </c>
      <c r="C192" s="3" t="s">
        <v>597</v>
      </c>
      <c r="D192" s="2" t="s">
        <v>66</v>
      </c>
      <c r="E192" s="2" t="s">
        <v>35</v>
      </c>
      <c r="F192" s="2" t="s">
        <v>67</v>
      </c>
      <c r="G192" t="str">
        <f t="shared" si="6"/>
        <v>East</v>
      </c>
      <c r="H192" s="2" t="s">
        <v>108</v>
      </c>
      <c r="I192" s="2" t="s">
        <v>115</v>
      </c>
      <c r="J192" s="2" t="s">
        <v>26</v>
      </c>
      <c r="K192" s="2" t="s">
        <v>70</v>
      </c>
      <c r="L192" s="2" t="s">
        <v>222</v>
      </c>
      <c r="M192" s="5">
        <v>5</v>
      </c>
      <c r="N192" s="5">
        <f t="shared" si="7"/>
        <v>5</v>
      </c>
      <c r="O192" s="4">
        <v>414.06</v>
      </c>
      <c r="P192" s="6">
        <v>0.2</v>
      </c>
      <c r="Q192" s="4">
        <v>1656.24</v>
      </c>
      <c r="R192" s="4">
        <f t="shared" si="8"/>
        <v>1656.24</v>
      </c>
      <c r="S192" s="4">
        <v>-233.55</v>
      </c>
      <c r="T192" s="2" t="s">
        <v>29</v>
      </c>
      <c r="U192" s="2" t="s">
        <v>62</v>
      </c>
    </row>
    <row r="193" spans="1:21" x14ac:dyDescent="0.3">
      <c r="A193" s="2" t="s">
        <v>598</v>
      </c>
      <c r="B193" s="12">
        <v>45637</v>
      </c>
      <c r="C193" s="3" t="s">
        <v>599</v>
      </c>
      <c r="D193" s="2" t="s">
        <v>76</v>
      </c>
      <c r="E193" s="2" t="s">
        <v>45</v>
      </c>
      <c r="F193" s="2" t="s">
        <v>67</v>
      </c>
      <c r="G193" t="str">
        <f t="shared" si="6"/>
        <v>East</v>
      </c>
      <c r="H193" s="2" t="s">
        <v>68</v>
      </c>
      <c r="I193" s="2" t="s">
        <v>77</v>
      </c>
      <c r="J193" s="2" t="s">
        <v>78</v>
      </c>
      <c r="K193" s="2" t="s">
        <v>79</v>
      </c>
      <c r="L193" s="2" t="s">
        <v>143</v>
      </c>
      <c r="M193" s="5">
        <v>7</v>
      </c>
      <c r="N193" s="5">
        <f t="shared" si="7"/>
        <v>7</v>
      </c>
      <c r="O193" s="4">
        <v>192.86</v>
      </c>
      <c r="P193" s="6">
        <v>0.05</v>
      </c>
      <c r="Q193" s="4">
        <v>1282.52</v>
      </c>
      <c r="R193" s="4">
        <f t="shared" si="8"/>
        <v>1282.52</v>
      </c>
      <c r="S193" s="4">
        <v>108.26</v>
      </c>
      <c r="T193" s="2" t="s">
        <v>55</v>
      </c>
      <c r="U193" s="2" t="s">
        <v>72</v>
      </c>
    </row>
    <row r="194" spans="1:21" x14ac:dyDescent="0.3">
      <c r="A194" s="2" t="s">
        <v>600</v>
      </c>
      <c r="B194" s="12">
        <v>45070</v>
      </c>
      <c r="C194" s="3" t="s">
        <v>602</v>
      </c>
      <c r="D194" s="2" t="s">
        <v>76</v>
      </c>
      <c r="E194" s="2" t="s">
        <v>35</v>
      </c>
      <c r="F194" s="2" t="s">
        <v>23</v>
      </c>
      <c r="G194" t="str">
        <f t="shared" ref="G194:G251" si="9">IF(TRIM(F194)="","",PROPER(TRIM(F194)))</f>
        <v>South</v>
      </c>
      <c r="H194" s="2" t="s">
        <v>68</v>
      </c>
      <c r="I194" s="2" t="s">
        <v>69</v>
      </c>
      <c r="J194" s="2" t="s">
        <v>78</v>
      </c>
      <c r="K194" s="2" t="s">
        <v>79</v>
      </c>
      <c r="L194" s="2" t="s">
        <v>143</v>
      </c>
      <c r="M194" s="5">
        <v>8</v>
      </c>
      <c r="N194" s="5">
        <f t="shared" ref="N194:N251" si="10">IFERROR(IF(TRIM(M194)="","",IF(UPPER(TRIM(M194))="N/A","",IF(VALUE(M194)&lt;0,"",VALUE(M194)))),"")</f>
        <v>8</v>
      </c>
      <c r="O194" s="4">
        <v>281.77999999999997</v>
      </c>
      <c r="P194" s="6">
        <v>0.1</v>
      </c>
      <c r="Q194" s="4">
        <v>2028.82</v>
      </c>
      <c r="R194" s="4">
        <f t="shared" ref="R194:R257" si="11">IFERROR(IF(Q194&lt;&gt;"",Q194,IF(OR(M194="",O194="",P194=""),"",IF(OR(M194&lt;=0,O194&lt;=0,P194&lt;0,P194&gt;1),"",ROUND(M194*O194*(1-P194),2)))),"")</f>
        <v>2028.82</v>
      </c>
      <c r="S194" s="4">
        <v>523.13</v>
      </c>
      <c r="T194" s="2" t="s">
        <v>87</v>
      </c>
      <c r="U194" s="2" t="s">
        <v>72</v>
      </c>
    </row>
    <row r="195" spans="1:21" x14ac:dyDescent="0.3">
      <c r="A195" s="2" t="s">
        <v>603</v>
      </c>
      <c r="B195" s="12">
        <v>45430</v>
      </c>
      <c r="C195" s="3" t="s">
        <v>263</v>
      </c>
      <c r="D195" s="2" t="s">
        <v>91</v>
      </c>
      <c r="E195" s="2" t="s">
        <v>35</v>
      </c>
      <c r="F195" s="2" t="s">
        <v>46</v>
      </c>
      <c r="G195" t="str">
        <f t="shared" si="9"/>
        <v>Central</v>
      </c>
      <c r="H195" s="2" t="s">
        <v>47</v>
      </c>
      <c r="I195" s="2" t="s">
        <v>164</v>
      </c>
      <c r="J195" s="2" t="s">
        <v>26</v>
      </c>
      <c r="K195" s="2" t="s">
        <v>27</v>
      </c>
      <c r="L195" s="2" t="s">
        <v>28</v>
      </c>
      <c r="M195" s="5">
        <v>8</v>
      </c>
      <c r="N195" s="5">
        <f t="shared" si="10"/>
        <v>8</v>
      </c>
      <c r="O195" s="4">
        <v>224.01</v>
      </c>
      <c r="P195" s="6">
        <v>0</v>
      </c>
      <c r="Q195" s="4">
        <v>1792.08</v>
      </c>
      <c r="R195" s="4">
        <f t="shared" si="11"/>
        <v>1792.08</v>
      </c>
      <c r="S195" s="4">
        <v>143.52000000000001</v>
      </c>
      <c r="T195" s="2" t="s">
        <v>41</v>
      </c>
      <c r="U195" s="2" t="s">
        <v>62</v>
      </c>
    </row>
    <row r="196" spans="1:21" x14ac:dyDescent="0.3">
      <c r="A196" s="2" t="s">
        <v>605</v>
      </c>
      <c r="B196" s="12">
        <v>45506</v>
      </c>
      <c r="C196" s="3" t="s">
        <v>607</v>
      </c>
      <c r="D196" s="2" t="s">
        <v>147</v>
      </c>
      <c r="E196" s="2" t="s">
        <v>22</v>
      </c>
      <c r="F196" s="2" t="s">
        <v>23</v>
      </c>
      <c r="G196" t="str">
        <f t="shared" si="9"/>
        <v>South</v>
      </c>
      <c r="H196" s="2" t="s">
        <v>108</v>
      </c>
      <c r="I196" s="2" t="s">
        <v>109</v>
      </c>
      <c r="J196" s="2" t="s">
        <v>78</v>
      </c>
      <c r="K196" s="2" t="s">
        <v>93</v>
      </c>
      <c r="L196" s="2" t="s">
        <v>110</v>
      </c>
      <c r="M196" s="5">
        <v>2</v>
      </c>
      <c r="N196" s="5">
        <f t="shared" si="10"/>
        <v>2</v>
      </c>
      <c r="O196" s="4">
        <v>261.14</v>
      </c>
      <c r="P196" s="6">
        <v>0.1</v>
      </c>
      <c r="Q196" s="4">
        <v>470.05</v>
      </c>
      <c r="R196" s="4">
        <f t="shared" si="11"/>
        <v>470.05</v>
      </c>
      <c r="S196" s="4">
        <v>82.99</v>
      </c>
      <c r="T196" s="2" t="s">
        <v>55</v>
      </c>
      <c r="U196" s="2" t="s">
        <v>72</v>
      </c>
    </row>
    <row r="197" spans="1:21" x14ac:dyDescent="0.3">
      <c r="A197" s="2" t="s">
        <v>608</v>
      </c>
      <c r="B197" s="12">
        <v>45596</v>
      </c>
      <c r="C197" s="3" t="s">
        <v>609</v>
      </c>
      <c r="D197" s="2" t="s">
        <v>120</v>
      </c>
      <c r="E197" s="2" t="s">
        <v>35</v>
      </c>
      <c r="F197" s="2" t="s">
        <v>67</v>
      </c>
      <c r="G197" t="str">
        <f t="shared" si="9"/>
        <v>East</v>
      </c>
      <c r="H197" s="2" t="s">
        <v>68</v>
      </c>
      <c r="I197" s="2" t="s">
        <v>69</v>
      </c>
      <c r="J197" s="2" t="s">
        <v>38</v>
      </c>
      <c r="K197" s="2" t="s">
        <v>60</v>
      </c>
      <c r="L197" s="2" t="s">
        <v>116</v>
      </c>
      <c r="M197" s="5">
        <v>1</v>
      </c>
      <c r="N197" s="5">
        <f t="shared" si="10"/>
        <v>1</v>
      </c>
      <c r="O197" s="4">
        <v>206.78</v>
      </c>
      <c r="P197" s="6">
        <v>0.1</v>
      </c>
      <c r="Q197" s="4">
        <v>186.1</v>
      </c>
      <c r="R197" s="4">
        <f t="shared" si="11"/>
        <v>186.1</v>
      </c>
      <c r="S197" s="4">
        <v>40.31</v>
      </c>
      <c r="T197" s="2" t="s">
        <v>41</v>
      </c>
      <c r="U197" s="2" t="s">
        <v>72</v>
      </c>
    </row>
    <row r="198" spans="1:21" x14ac:dyDescent="0.3">
      <c r="A198" s="2" t="s">
        <v>610</v>
      </c>
      <c r="B198" s="12">
        <v>45557</v>
      </c>
      <c r="C198" s="3" t="s">
        <v>497</v>
      </c>
      <c r="D198" s="2" t="s">
        <v>76</v>
      </c>
      <c r="E198" s="2" t="s">
        <v>45</v>
      </c>
      <c r="F198" s="2" t="s">
        <v>46</v>
      </c>
      <c r="G198" t="str">
        <f t="shared" si="9"/>
        <v>Central</v>
      </c>
      <c r="H198" s="2" t="s">
        <v>68</v>
      </c>
      <c r="I198" s="2" t="s">
        <v>320</v>
      </c>
      <c r="J198" s="2" t="s">
        <v>38</v>
      </c>
      <c r="K198" s="2" t="s">
        <v>39</v>
      </c>
      <c r="L198" s="2" t="s">
        <v>165</v>
      </c>
      <c r="M198" s="5">
        <v>4</v>
      </c>
      <c r="N198" s="5">
        <f t="shared" si="10"/>
        <v>4</v>
      </c>
      <c r="O198" s="4">
        <v>364</v>
      </c>
      <c r="P198" s="6">
        <v>0.2</v>
      </c>
      <c r="Q198" s="4">
        <v>1164.8</v>
      </c>
      <c r="R198" s="4">
        <f t="shared" si="11"/>
        <v>1164.8</v>
      </c>
      <c r="S198" s="4">
        <v>-21.69</v>
      </c>
      <c r="T198" s="2" t="s">
        <v>41</v>
      </c>
      <c r="U198" s="2" t="s">
        <v>30</v>
      </c>
    </row>
    <row r="199" spans="1:21" x14ac:dyDescent="0.3">
      <c r="A199" s="2" t="s">
        <v>611</v>
      </c>
      <c r="B199" s="12">
        <v>45348</v>
      </c>
      <c r="C199" s="3" t="s">
        <v>613</v>
      </c>
      <c r="D199" s="2" t="s">
        <v>52</v>
      </c>
      <c r="E199" s="2" t="s">
        <v>22</v>
      </c>
      <c r="F199" s="2" t="s">
        <v>23</v>
      </c>
      <c r="G199" t="str">
        <f t="shared" si="9"/>
        <v>South</v>
      </c>
      <c r="H199" s="2" t="s">
        <v>24</v>
      </c>
      <c r="I199" s="2" t="s">
        <v>59</v>
      </c>
      <c r="J199" s="2" t="s">
        <v>38</v>
      </c>
      <c r="K199" s="2" t="s">
        <v>39</v>
      </c>
      <c r="L199" s="2" t="s">
        <v>165</v>
      </c>
      <c r="M199" s="5">
        <v>3</v>
      </c>
      <c r="N199" s="5">
        <f t="shared" si="10"/>
        <v>3</v>
      </c>
      <c r="O199" s="4">
        <v>318.02999999999997</v>
      </c>
      <c r="Q199" s="4">
        <v>906.39</v>
      </c>
      <c r="R199" s="4">
        <f t="shared" si="11"/>
        <v>906.39</v>
      </c>
      <c r="S199" s="4">
        <v>-59.05</v>
      </c>
      <c r="T199" s="2" t="s">
        <v>55</v>
      </c>
      <c r="U199" s="2" t="s">
        <v>56</v>
      </c>
    </row>
    <row r="200" spans="1:21" x14ac:dyDescent="0.3">
      <c r="A200" s="2" t="s">
        <v>614</v>
      </c>
      <c r="B200" s="12">
        <v>45351</v>
      </c>
      <c r="C200" s="3" t="s">
        <v>514</v>
      </c>
      <c r="D200" s="2" t="s">
        <v>66</v>
      </c>
      <c r="E200" s="2" t="s">
        <v>45</v>
      </c>
      <c r="F200" s="2" t="s">
        <v>23</v>
      </c>
      <c r="G200" t="str">
        <f t="shared" si="9"/>
        <v>South</v>
      </c>
      <c r="H200" s="2" t="s">
        <v>47</v>
      </c>
      <c r="I200" s="2" t="s">
        <v>48</v>
      </c>
      <c r="J200" s="2" t="s">
        <v>26</v>
      </c>
      <c r="K200" s="2" t="s">
        <v>27</v>
      </c>
      <c r="L200" s="2" t="s">
        <v>179</v>
      </c>
      <c r="M200" s="5">
        <v>2</v>
      </c>
      <c r="N200" s="5">
        <f t="shared" si="10"/>
        <v>2</v>
      </c>
      <c r="O200" s="4">
        <v>288.06</v>
      </c>
      <c r="P200" s="6">
        <v>0</v>
      </c>
      <c r="Q200" s="4">
        <v>576.12</v>
      </c>
      <c r="R200" s="4">
        <f t="shared" si="11"/>
        <v>576.12</v>
      </c>
      <c r="S200" s="4">
        <v>3.06</v>
      </c>
      <c r="T200" s="2" t="s">
        <v>29</v>
      </c>
      <c r="U200" s="2" t="s">
        <v>30</v>
      </c>
    </row>
    <row r="201" spans="1:21" x14ac:dyDescent="0.3">
      <c r="A201" s="2" t="s">
        <v>615</v>
      </c>
      <c r="B201" s="12">
        <v>45396</v>
      </c>
      <c r="C201" s="3" t="s">
        <v>51</v>
      </c>
      <c r="D201" s="2" t="s">
        <v>52</v>
      </c>
      <c r="E201" s="2" t="s">
        <v>45</v>
      </c>
      <c r="F201" s="2" t="s">
        <v>46</v>
      </c>
      <c r="G201" t="str">
        <f t="shared" si="9"/>
        <v>Central</v>
      </c>
      <c r="H201" s="2" t="s">
        <v>108</v>
      </c>
      <c r="I201" s="2" t="s">
        <v>115</v>
      </c>
      <c r="J201" s="2" t="s">
        <v>26</v>
      </c>
      <c r="K201" s="2" t="s">
        <v>27</v>
      </c>
      <c r="L201" s="2" t="s">
        <v>179</v>
      </c>
      <c r="M201" s="5">
        <v>6</v>
      </c>
      <c r="N201" s="5">
        <f t="shared" si="10"/>
        <v>6</v>
      </c>
      <c r="O201" s="4">
        <v>383.75</v>
      </c>
      <c r="P201" s="6">
        <v>0.2</v>
      </c>
      <c r="Q201" s="4">
        <v>1842</v>
      </c>
      <c r="R201" s="4">
        <f t="shared" si="11"/>
        <v>1842</v>
      </c>
      <c r="S201" s="4">
        <v>5.43</v>
      </c>
      <c r="T201" s="2" t="s">
        <v>41</v>
      </c>
      <c r="U201" s="2" t="s">
        <v>56</v>
      </c>
    </row>
    <row r="202" spans="1:21" x14ac:dyDescent="0.3">
      <c r="A202" s="2" t="s">
        <v>616</v>
      </c>
      <c r="B202" s="12">
        <v>45518</v>
      </c>
      <c r="C202" s="3" t="s">
        <v>243</v>
      </c>
      <c r="D202" s="2" t="s">
        <v>21</v>
      </c>
      <c r="E202" s="2" t="s">
        <v>22</v>
      </c>
      <c r="F202" s="2" t="s">
        <v>23</v>
      </c>
      <c r="G202" t="str">
        <f t="shared" si="9"/>
        <v>South</v>
      </c>
      <c r="H202" s="2" t="s">
        <v>68</v>
      </c>
      <c r="I202" s="2" t="s">
        <v>77</v>
      </c>
      <c r="J202" s="2" t="s">
        <v>26</v>
      </c>
      <c r="K202" s="2" t="s">
        <v>70</v>
      </c>
      <c r="L202" s="2" t="s">
        <v>71</v>
      </c>
      <c r="M202" s="5">
        <v>8</v>
      </c>
      <c r="N202" s="5">
        <f t="shared" si="10"/>
        <v>8</v>
      </c>
      <c r="O202" s="4">
        <v>356.43</v>
      </c>
      <c r="P202" s="6">
        <v>0.3</v>
      </c>
      <c r="Q202" s="4">
        <v>1996.01</v>
      </c>
      <c r="R202" s="4">
        <f t="shared" si="11"/>
        <v>1996.01</v>
      </c>
      <c r="S202" s="4">
        <v>340.59</v>
      </c>
      <c r="T202" s="2" t="s">
        <v>29</v>
      </c>
      <c r="U202" s="2" t="s">
        <v>62</v>
      </c>
    </row>
    <row r="203" spans="1:21" x14ac:dyDescent="0.3">
      <c r="A203" s="2" t="s">
        <v>618</v>
      </c>
      <c r="B203" s="12">
        <v>45394</v>
      </c>
      <c r="C203" s="3" t="s">
        <v>619</v>
      </c>
      <c r="D203" s="2" t="s">
        <v>76</v>
      </c>
      <c r="E203" s="2" t="s">
        <v>45</v>
      </c>
      <c r="F203" s="2" t="s">
        <v>53</v>
      </c>
      <c r="G203" t="str">
        <f t="shared" si="9"/>
        <v>West</v>
      </c>
      <c r="H203" s="2" t="s">
        <v>24</v>
      </c>
      <c r="I203" s="2" t="s">
        <v>59</v>
      </c>
      <c r="J203" s="2" t="s">
        <v>78</v>
      </c>
      <c r="K203" s="2" t="s">
        <v>93</v>
      </c>
      <c r="L203" s="2" t="s">
        <v>110</v>
      </c>
      <c r="M203" s="5">
        <v>4</v>
      </c>
      <c r="N203" s="5">
        <f t="shared" si="10"/>
        <v>4</v>
      </c>
      <c r="O203" s="4">
        <v>448.1</v>
      </c>
      <c r="P203" s="6">
        <v>0.05</v>
      </c>
      <c r="Q203" s="4">
        <v>1702.78</v>
      </c>
      <c r="R203" s="4">
        <f t="shared" si="11"/>
        <v>1702.78</v>
      </c>
      <c r="S203" s="4">
        <v>384.47</v>
      </c>
      <c r="T203" s="2" t="s">
        <v>41</v>
      </c>
      <c r="U203" s="2" t="s">
        <v>56</v>
      </c>
    </row>
    <row r="204" spans="1:21" x14ac:dyDescent="0.3">
      <c r="A204" s="2" t="s">
        <v>620</v>
      </c>
      <c r="B204" s="12">
        <v>45307</v>
      </c>
      <c r="C204" s="3" t="s">
        <v>509</v>
      </c>
      <c r="D204" s="2" t="s">
        <v>34</v>
      </c>
      <c r="E204" s="2" t="s">
        <v>22</v>
      </c>
      <c r="F204" s="2" t="s">
        <v>53</v>
      </c>
      <c r="G204" t="str">
        <f t="shared" si="9"/>
        <v>West</v>
      </c>
      <c r="H204" s="2" t="s">
        <v>108</v>
      </c>
      <c r="I204" s="2" t="s">
        <v>115</v>
      </c>
      <c r="J204" s="2" t="s">
        <v>38</v>
      </c>
      <c r="K204" s="2" t="s">
        <v>60</v>
      </c>
      <c r="L204" s="2" t="s">
        <v>61</v>
      </c>
      <c r="M204" s="5">
        <v>3</v>
      </c>
      <c r="N204" s="5">
        <f t="shared" si="10"/>
        <v>3</v>
      </c>
      <c r="O204" s="4">
        <v>30.89</v>
      </c>
      <c r="P204" s="6">
        <v>0.3</v>
      </c>
      <c r="Q204" s="4">
        <v>64.87</v>
      </c>
      <c r="R204" s="4">
        <f t="shared" si="11"/>
        <v>64.87</v>
      </c>
      <c r="S204" s="4">
        <v>-2.56</v>
      </c>
      <c r="T204" s="2" t="s">
        <v>29</v>
      </c>
      <c r="U204" s="2" t="s">
        <v>30</v>
      </c>
    </row>
    <row r="205" spans="1:21" x14ac:dyDescent="0.3">
      <c r="A205" s="2" t="s">
        <v>622</v>
      </c>
      <c r="B205" s="12">
        <v>45415</v>
      </c>
      <c r="C205" s="3" t="s">
        <v>585</v>
      </c>
      <c r="D205" s="2" t="s">
        <v>21</v>
      </c>
      <c r="E205" s="2" t="s">
        <v>45</v>
      </c>
      <c r="F205" s="2" t="s">
        <v>67</v>
      </c>
      <c r="G205" t="str">
        <f t="shared" si="9"/>
        <v>East</v>
      </c>
      <c r="H205" s="2" t="s">
        <v>24</v>
      </c>
      <c r="I205" s="2" t="s">
        <v>125</v>
      </c>
      <c r="J205" s="2" t="s">
        <v>38</v>
      </c>
      <c r="K205" s="2" t="s">
        <v>39</v>
      </c>
      <c r="L205" s="2" t="s">
        <v>165</v>
      </c>
      <c r="M205" s="5">
        <v>4</v>
      </c>
      <c r="N205" s="5">
        <f t="shared" si="10"/>
        <v>4</v>
      </c>
      <c r="O205" s="4">
        <v>237.59</v>
      </c>
      <c r="P205" s="6">
        <v>0.15</v>
      </c>
      <c r="Q205" s="4">
        <v>807.81</v>
      </c>
      <c r="R205" s="4">
        <f t="shared" si="11"/>
        <v>807.81</v>
      </c>
      <c r="S205" s="4">
        <v>-141.94999999999999</v>
      </c>
      <c r="T205" s="2" t="s">
        <v>29</v>
      </c>
      <c r="U205" s="2" t="s">
        <v>62</v>
      </c>
    </row>
    <row r="206" spans="1:21" x14ac:dyDescent="0.3">
      <c r="A206" s="2" t="s">
        <v>624</v>
      </c>
      <c r="B206" s="12">
        <v>45018</v>
      </c>
      <c r="C206" s="3" t="s">
        <v>152</v>
      </c>
      <c r="D206" s="2" t="s">
        <v>76</v>
      </c>
      <c r="E206" s="2" t="s">
        <v>35</v>
      </c>
      <c r="F206" s="2" t="s">
        <v>53</v>
      </c>
      <c r="G206" t="str">
        <f t="shared" si="9"/>
        <v>West</v>
      </c>
      <c r="H206" s="2" t="s">
        <v>108</v>
      </c>
      <c r="I206" s="2" t="s">
        <v>157</v>
      </c>
      <c r="J206" s="2" t="s">
        <v>78</v>
      </c>
      <c r="K206" s="2" t="s">
        <v>93</v>
      </c>
      <c r="L206" s="2" t="s">
        <v>110</v>
      </c>
      <c r="M206" s="5">
        <v>2</v>
      </c>
      <c r="N206" s="5">
        <f t="shared" si="10"/>
        <v>2</v>
      </c>
      <c r="O206" s="4">
        <v>146.5</v>
      </c>
      <c r="P206" s="6">
        <v>0.1</v>
      </c>
      <c r="Q206" s="4">
        <v>263.7</v>
      </c>
      <c r="R206" s="4">
        <f t="shared" si="11"/>
        <v>263.7</v>
      </c>
      <c r="S206" s="4">
        <v>-30.83</v>
      </c>
      <c r="T206" s="2" t="s">
        <v>55</v>
      </c>
      <c r="U206" s="2" t="s">
        <v>72</v>
      </c>
    </row>
    <row r="207" spans="1:21" x14ac:dyDescent="0.3">
      <c r="A207" s="2" t="s">
        <v>626</v>
      </c>
      <c r="B207" s="12">
        <v>45145</v>
      </c>
      <c r="C207" s="3" t="s">
        <v>517</v>
      </c>
      <c r="D207" s="2" t="s">
        <v>21</v>
      </c>
      <c r="E207" s="2" t="s">
        <v>35</v>
      </c>
      <c r="F207" s="2" t="s">
        <v>67</v>
      </c>
      <c r="G207" t="str">
        <f t="shared" si="9"/>
        <v>East</v>
      </c>
      <c r="H207" s="2" t="s">
        <v>108</v>
      </c>
      <c r="I207" s="2" t="s">
        <v>115</v>
      </c>
      <c r="J207" s="2" t="s">
        <v>78</v>
      </c>
      <c r="K207" s="2" t="s">
        <v>79</v>
      </c>
      <c r="L207" s="2" t="s">
        <v>80</v>
      </c>
      <c r="M207" s="5">
        <v>3</v>
      </c>
      <c r="N207" s="5">
        <f t="shared" si="10"/>
        <v>3</v>
      </c>
      <c r="O207" s="4">
        <v>414.59</v>
      </c>
      <c r="P207" s="6">
        <v>0.2</v>
      </c>
      <c r="Q207" s="4">
        <v>995.02</v>
      </c>
      <c r="R207" s="4">
        <f t="shared" si="11"/>
        <v>995.02</v>
      </c>
      <c r="S207" s="4">
        <v>135.13999999999999</v>
      </c>
      <c r="T207" s="2" t="s">
        <v>87</v>
      </c>
      <c r="U207" s="2" t="s">
        <v>56</v>
      </c>
    </row>
    <row r="208" spans="1:21" x14ac:dyDescent="0.3">
      <c r="A208" s="2" t="s">
        <v>628</v>
      </c>
      <c r="B208" s="12">
        <v>45249</v>
      </c>
      <c r="C208" s="3" t="s">
        <v>428</v>
      </c>
      <c r="D208" s="2" t="s">
        <v>147</v>
      </c>
      <c r="E208" s="2" t="s">
        <v>22</v>
      </c>
      <c r="F208" s="2" t="s">
        <v>46</v>
      </c>
      <c r="G208" t="str">
        <f t="shared" si="9"/>
        <v>Central</v>
      </c>
      <c r="H208" s="2" t="s">
        <v>68</v>
      </c>
      <c r="I208" s="2" t="s">
        <v>320</v>
      </c>
      <c r="J208" s="2" t="s">
        <v>78</v>
      </c>
      <c r="K208" s="2" t="s">
        <v>93</v>
      </c>
      <c r="L208" s="2" t="s">
        <v>94</v>
      </c>
      <c r="M208" s="5">
        <v>5</v>
      </c>
      <c r="N208" s="5">
        <f t="shared" si="10"/>
        <v>5</v>
      </c>
      <c r="O208" s="4">
        <v>292.92</v>
      </c>
      <c r="P208" s="6">
        <v>0.05</v>
      </c>
      <c r="Q208" s="4">
        <v>1391.37</v>
      </c>
      <c r="R208" s="4">
        <f t="shared" si="11"/>
        <v>1391.37</v>
      </c>
      <c r="S208" s="4">
        <v>103.74</v>
      </c>
      <c r="T208" s="2" t="s">
        <v>55</v>
      </c>
      <c r="U208" s="2" t="s">
        <v>72</v>
      </c>
    </row>
    <row r="209" spans="1:21" x14ac:dyDescent="0.3">
      <c r="A209" s="2" t="s">
        <v>630</v>
      </c>
      <c r="B209" s="12">
        <v>45588</v>
      </c>
      <c r="C209" s="3" t="s">
        <v>220</v>
      </c>
      <c r="D209" s="2" t="s">
        <v>147</v>
      </c>
      <c r="E209" s="2" t="s">
        <v>45</v>
      </c>
      <c r="F209" s="2" t="s">
        <v>46</v>
      </c>
      <c r="G209" t="str">
        <f t="shared" si="9"/>
        <v>Central</v>
      </c>
      <c r="H209" s="2" t="s">
        <v>24</v>
      </c>
      <c r="I209" s="2" t="s">
        <v>125</v>
      </c>
      <c r="J209" s="2" t="s">
        <v>78</v>
      </c>
      <c r="K209" s="2" t="s">
        <v>79</v>
      </c>
      <c r="L209" s="2" t="s">
        <v>80</v>
      </c>
      <c r="M209" s="5">
        <v>8</v>
      </c>
      <c r="N209" s="5">
        <f t="shared" si="10"/>
        <v>8</v>
      </c>
      <c r="O209" s="4">
        <v>178.56</v>
      </c>
      <c r="P209" s="6">
        <v>0.05</v>
      </c>
      <c r="Q209" s="4">
        <v>1357.06</v>
      </c>
      <c r="R209" s="4">
        <f t="shared" si="11"/>
        <v>1357.06</v>
      </c>
      <c r="S209" s="4">
        <v>67.59</v>
      </c>
      <c r="T209" s="2" t="s">
        <v>87</v>
      </c>
      <c r="U209" s="2" t="s">
        <v>72</v>
      </c>
    </row>
    <row r="210" spans="1:21" x14ac:dyDescent="0.3">
      <c r="A210" s="2" t="s">
        <v>631</v>
      </c>
      <c r="B210" s="12">
        <v>45486</v>
      </c>
      <c r="C210" s="3" t="s">
        <v>633</v>
      </c>
      <c r="D210" s="2" t="s">
        <v>147</v>
      </c>
      <c r="E210" s="2" t="s">
        <v>45</v>
      </c>
      <c r="F210" s="2" t="s">
        <v>67</v>
      </c>
      <c r="G210" t="str">
        <f t="shared" si="9"/>
        <v>East</v>
      </c>
      <c r="H210" s="2" t="s">
        <v>108</v>
      </c>
      <c r="I210" s="2" t="s">
        <v>157</v>
      </c>
      <c r="J210" s="2" t="s">
        <v>78</v>
      </c>
      <c r="K210" s="2" t="s">
        <v>79</v>
      </c>
      <c r="L210" s="2" t="s">
        <v>80</v>
      </c>
      <c r="M210" s="5">
        <v>8</v>
      </c>
      <c r="N210" s="5">
        <f t="shared" si="10"/>
        <v>8</v>
      </c>
      <c r="O210" s="4">
        <v>429.87</v>
      </c>
      <c r="P210" s="6">
        <v>0</v>
      </c>
      <c r="Q210" s="4">
        <v>3438.96</v>
      </c>
      <c r="R210" s="4">
        <f t="shared" si="11"/>
        <v>3438.96</v>
      </c>
      <c r="S210" s="4">
        <v>-592.61</v>
      </c>
      <c r="T210" s="2" t="s">
        <v>29</v>
      </c>
      <c r="U210" s="2" t="s">
        <v>72</v>
      </c>
    </row>
    <row r="211" spans="1:21" x14ac:dyDescent="0.3">
      <c r="A211" s="2" t="s">
        <v>634</v>
      </c>
      <c r="B211" s="12">
        <v>45220</v>
      </c>
      <c r="C211" s="3" t="s">
        <v>636</v>
      </c>
      <c r="D211" s="2" t="s">
        <v>76</v>
      </c>
      <c r="E211" s="2" t="s">
        <v>45</v>
      </c>
      <c r="F211" s="2" t="s">
        <v>53</v>
      </c>
      <c r="G211" t="str">
        <f t="shared" si="9"/>
        <v>West</v>
      </c>
      <c r="H211" s="2" t="s">
        <v>108</v>
      </c>
      <c r="I211" s="2" t="s">
        <v>115</v>
      </c>
      <c r="J211" s="2" t="s">
        <v>26</v>
      </c>
      <c r="K211" s="2" t="s">
        <v>70</v>
      </c>
      <c r="L211" s="2" t="s">
        <v>222</v>
      </c>
      <c r="M211" s="5">
        <v>7</v>
      </c>
      <c r="N211" s="5">
        <f t="shared" si="10"/>
        <v>7</v>
      </c>
      <c r="O211" s="4">
        <v>195.22</v>
      </c>
      <c r="P211" s="6">
        <v>0.15</v>
      </c>
      <c r="Q211" s="4">
        <v>1161.56</v>
      </c>
      <c r="R211" s="4">
        <f t="shared" si="11"/>
        <v>1161.56</v>
      </c>
      <c r="S211" s="4">
        <v>-165.04</v>
      </c>
      <c r="T211" s="2" t="s">
        <v>29</v>
      </c>
      <c r="U211" s="2" t="s">
        <v>62</v>
      </c>
    </row>
    <row r="212" spans="1:21" x14ac:dyDescent="0.3">
      <c r="A212" s="2" t="s">
        <v>637</v>
      </c>
      <c r="B212" s="12">
        <v>45476</v>
      </c>
      <c r="C212" s="3" t="s">
        <v>638</v>
      </c>
      <c r="D212" s="2" t="s">
        <v>147</v>
      </c>
      <c r="E212" s="2" t="s">
        <v>35</v>
      </c>
      <c r="F212" s="2" t="s">
        <v>53</v>
      </c>
      <c r="G212" t="str">
        <f t="shared" si="9"/>
        <v>West</v>
      </c>
      <c r="H212" s="2" t="s">
        <v>84</v>
      </c>
      <c r="I212" s="2" t="s">
        <v>131</v>
      </c>
      <c r="J212" s="2" t="s">
        <v>38</v>
      </c>
      <c r="K212" s="2" t="s">
        <v>39</v>
      </c>
      <c r="L212" s="2" t="s">
        <v>165</v>
      </c>
      <c r="M212" s="5">
        <v>2</v>
      </c>
      <c r="N212" s="5">
        <f t="shared" si="10"/>
        <v>2</v>
      </c>
      <c r="O212" s="4">
        <v>145.09</v>
      </c>
      <c r="P212" s="6">
        <v>0.15</v>
      </c>
      <c r="Q212" s="4">
        <v>246.65</v>
      </c>
      <c r="R212" s="4">
        <f t="shared" si="11"/>
        <v>246.65</v>
      </c>
      <c r="S212" s="4">
        <v>38.42</v>
      </c>
      <c r="T212" s="2" t="s">
        <v>29</v>
      </c>
      <c r="U212" s="2" t="s">
        <v>72</v>
      </c>
    </row>
    <row r="213" spans="1:21" x14ac:dyDescent="0.3">
      <c r="A213" s="2" t="s">
        <v>639</v>
      </c>
      <c r="B213" s="12">
        <v>45550</v>
      </c>
      <c r="C213" s="3" t="s">
        <v>641</v>
      </c>
      <c r="D213" s="2" t="s">
        <v>76</v>
      </c>
      <c r="E213" s="2" t="s">
        <v>45</v>
      </c>
      <c r="F213" s="2" t="s">
        <v>46</v>
      </c>
      <c r="G213" t="str">
        <f t="shared" si="9"/>
        <v>Central</v>
      </c>
      <c r="H213" s="2" t="s">
        <v>24</v>
      </c>
      <c r="I213" s="2" t="s">
        <v>59</v>
      </c>
      <c r="J213" s="2" t="s">
        <v>26</v>
      </c>
      <c r="K213" s="2" t="s">
        <v>70</v>
      </c>
      <c r="L213" s="2" t="s">
        <v>86</v>
      </c>
      <c r="M213" s="5">
        <v>3</v>
      </c>
      <c r="N213" s="5">
        <f t="shared" si="10"/>
        <v>3</v>
      </c>
      <c r="O213" s="4">
        <v>60.79</v>
      </c>
      <c r="P213" s="6">
        <v>0.3</v>
      </c>
      <c r="Q213" s="4">
        <v>127.66</v>
      </c>
      <c r="R213" s="4">
        <f t="shared" si="11"/>
        <v>127.66</v>
      </c>
      <c r="S213" s="4">
        <v>-14.92</v>
      </c>
      <c r="T213" s="2" t="s">
        <v>41</v>
      </c>
      <c r="U213" s="2" t="s">
        <v>62</v>
      </c>
    </row>
    <row r="214" spans="1:21" x14ac:dyDescent="0.3">
      <c r="A214" s="2" t="s">
        <v>642</v>
      </c>
      <c r="B214" s="12">
        <v>45056</v>
      </c>
      <c r="C214" s="3" t="s">
        <v>643</v>
      </c>
      <c r="D214" s="2" t="s">
        <v>91</v>
      </c>
      <c r="E214" s="2" t="s">
        <v>22</v>
      </c>
      <c r="F214" s="2" t="s">
        <v>53</v>
      </c>
      <c r="G214" t="str">
        <f t="shared" si="9"/>
        <v>West</v>
      </c>
      <c r="H214" s="2" t="s">
        <v>108</v>
      </c>
      <c r="I214" s="2" t="s">
        <v>109</v>
      </c>
      <c r="J214" s="2" t="s">
        <v>78</v>
      </c>
      <c r="K214" s="2" t="s">
        <v>79</v>
      </c>
      <c r="L214" s="2" t="s">
        <v>378</v>
      </c>
      <c r="M214" s="5">
        <v>2</v>
      </c>
      <c r="N214" s="5">
        <f t="shared" si="10"/>
        <v>2</v>
      </c>
      <c r="O214" s="4">
        <v>348.97</v>
      </c>
      <c r="P214" s="6">
        <v>0</v>
      </c>
      <c r="Q214" s="4">
        <v>697.94</v>
      </c>
      <c r="R214" s="4">
        <f t="shared" si="11"/>
        <v>697.94</v>
      </c>
      <c r="S214" s="4">
        <v>-18.07</v>
      </c>
      <c r="T214" s="2" t="s">
        <v>29</v>
      </c>
      <c r="U214" s="2" t="s">
        <v>72</v>
      </c>
    </row>
    <row r="215" spans="1:21" x14ac:dyDescent="0.3">
      <c r="A215" s="2" t="s">
        <v>644</v>
      </c>
      <c r="B215" s="12">
        <v>45450</v>
      </c>
      <c r="C215" s="3" t="s">
        <v>646</v>
      </c>
      <c r="D215" s="2" t="s">
        <v>21</v>
      </c>
      <c r="E215" s="2" t="s">
        <v>22</v>
      </c>
      <c r="F215" s="2" t="s">
        <v>53</v>
      </c>
      <c r="G215" t="str">
        <f t="shared" si="9"/>
        <v>West</v>
      </c>
      <c r="H215" s="2" t="s">
        <v>84</v>
      </c>
      <c r="I215" s="2" t="s">
        <v>85</v>
      </c>
      <c r="J215" s="2" t="s">
        <v>78</v>
      </c>
      <c r="K215" s="2" t="s">
        <v>93</v>
      </c>
      <c r="L215" s="2" t="s">
        <v>94</v>
      </c>
      <c r="M215" s="5">
        <v>8</v>
      </c>
      <c r="N215" s="5">
        <f t="shared" si="10"/>
        <v>8</v>
      </c>
      <c r="O215" s="4">
        <v>387.84</v>
      </c>
      <c r="P215" s="6">
        <v>0.05</v>
      </c>
      <c r="Q215" s="4">
        <v>2947.58</v>
      </c>
      <c r="R215" s="4">
        <f t="shared" si="11"/>
        <v>2947.58</v>
      </c>
      <c r="S215" s="4">
        <v>-32.020000000000003</v>
      </c>
      <c r="T215" s="2" t="s">
        <v>29</v>
      </c>
      <c r="U215" s="2" t="s">
        <v>30</v>
      </c>
    </row>
    <row r="216" spans="1:21" x14ac:dyDescent="0.3">
      <c r="A216" s="2" t="s">
        <v>647</v>
      </c>
      <c r="B216" s="12">
        <v>45177</v>
      </c>
      <c r="C216" s="3" t="s">
        <v>536</v>
      </c>
      <c r="D216" s="2" t="s">
        <v>34</v>
      </c>
      <c r="E216" s="2" t="s">
        <v>35</v>
      </c>
      <c r="F216" s="2" t="s">
        <v>46</v>
      </c>
      <c r="G216" t="str">
        <f t="shared" si="9"/>
        <v>Central</v>
      </c>
      <c r="H216" s="2" t="s">
        <v>24</v>
      </c>
      <c r="I216" s="2" t="s">
        <v>59</v>
      </c>
      <c r="J216" s="2" t="s">
        <v>38</v>
      </c>
      <c r="K216" s="2" t="s">
        <v>60</v>
      </c>
      <c r="L216" s="2" t="s">
        <v>116</v>
      </c>
      <c r="M216" s="5">
        <v>6</v>
      </c>
      <c r="N216" s="5">
        <f t="shared" si="10"/>
        <v>6</v>
      </c>
      <c r="O216" s="4">
        <v>177.28</v>
      </c>
      <c r="P216" s="6">
        <v>0.05</v>
      </c>
      <c r="Q216" s="4">
        <v>1010.5</v>
      </c>
      <c r="R216" s="4">
        <f t="shared" si="11"/>
        <v>1010.5</v>
      </c>
      <c r="S216" s="4">
        <v>-98.7</v>
      </c>
      <c r="T216" s="2" t="s">
        <v>87</v>
      </c>
      <c r="U216" s="2" t="s">
        <v>56</v>
      </c>
    </row>
    <row r="217" spans="1:21" x14ac:dyDescent="0.3">
      <c r="A217" s="2" t="s">
        <v>648</v>
      </c>
      <c r="B217" s="12">
        <v>45006</v>
      </c>
      <c r="C217" s="3" t="s">
        <v>649</v>
      </c>
      <c r="D217" s="2" t="s">
        <v>147</v>
      </c>
      <c r="E217" s="2" t="s">
        <v>45</v>
      </c>
      <c r="F217" s="2" t="s">
        <v>53</v>
      </c>
      <c r="G217" t="str">
        <f t="shared" si="9"/>
        <v>West</v>
      </c>
      <c r="H217" s="2" t="s">
        <v>36</v>
      </c>
      <c r="I217" s="2" t="s">
        <v>92</v>
      </c>
      <c r="J217" s="2" t="s">
        <v>78</v>
      </c>
      <c r="K217" s="2" t="s">
        <v>79</v>
      </c>
      <c r="L217" s="2" t="s">
        <v>378</v>
      </c>
      <c r="M217" s="5">
        <v>2</v>
      </c>
      <c r="N217" s="5">
        <f t="shared" si="10"/>
        <v>2</v>
      </c>
      <c r="O217" s="4">
        <v>229.9</v>
      </c>
      <c r="P217" s="6">
        <v>0</v>
      </c>
      <c r="Q217" s="4">
        <v>459.8</v>
      </c>
      <c r="R217" s="4">
        <f t="shared" si="11"/>
        <v>459.8</v>
      </c>
      <c r="S217" s="4">
        <v>-44.83</v>
      </c>
      <c r="T217" s="2" t="s">
        <v>41</v>
      </c>
      <c r="U217" s="2" t="s">
        <v>56</v>
      </c>
    </row>
    <row r="218" spans="1:21" x14ac:dyDescent="0.3">
      <c r="A218" s="2" t="s">
        <v>650</v>
      </c>
      <c r="B218" s="12">
        <v>45015</v>
      </c>
      <c r="C218" s="3" t="s">
        <v>337</v>
      </c>
      <c r="D218" s="2" t="s">
        <v>52</v>
      </c>
      <c r="E218" s="2" t="s">
        <v>45</v>
      </c>
      <c r="F218" s="2" t="s">
        <v>46</v>
      </c>
      <c r="G218" t="str">
        <f t="shared" si="9"/>
        <v>Central</v>
      </c>
      <c r="H218" s="2" t="s">
        <v>36</v>
      </c>
      <c r="I218" s="2" t="s">
        <v>92</v>
      </c>
      <c r="J218" s="2" t="s">
        <v>78</v>
      </c>
      <c r="K218" s="2" t="s">
        <v>79</v>
      </c>
      <c r="L218" s="2" t="s">
        <v>143</v>
      </c>
      <c r="M218" s="5">
        <v>1</v>
      </c>
      <c r="N218" s="5">
        <f t="shared" si="10"/>
        <v>1</v>
      </c>
      <c r="O218" s="4">
        <v>171.06</v>
      </c>
      <c r="P218" s="6">
        <v>0.1</v>
      </c>
      <c r="Q218" s="4">
        <v>153.94999999999999</v>
      </c>
      <c r="R218" s="4">
        <f t="shared" si="11"/>
        <v>153.94999999999999</v>
      </c>
      <c r="S218" s="4">
        <v>12.22</v>
      </c>
      <c r="T218" s="2" t="s">
        <v>87</v>
      </c>
      <c r="U218" s="2" t="s">
        <v>62</v>
      </c>
    </row>
    <row r="219" spans="1:21" x14ac:dyDescent="0.3">
      <c r="A219" s="2" t="s">
        <v>651</v>
      </c>
      <c r="B219" s="12">
        <v>45486</v>
      </c>
      <c r="C219" s="3" t="s">
        <v>652</v>
      </c>
      <c r="D219" s="2" t="s">
        <v>147</v>
      </c>
      <c r="E219" s="2" t="s">
        <v>45</v>
      </c>
      <c r="F219" s="2" t="s">
        <v>53</v>
      </c>
      <c r="G219" t="str">
        <f t="shared" si="9"/>
        <v>West</v>
      </c>
      <c r="H219" s="2" t="s">
        <v>68</v>
      </c>
      <c r="I219" s="2" t="s">
        <v>320</v>
      </c>
      <c r="J219" s="2" t="s">
        <v>26</v>
      </c>
      <c r="K219" s="2" t="s">
        <v>27</v>
      </c>
      <c r="L219" s="2" t="s">
        <v>139</v>
      </c>
      <c r="M219" s="5">
        <v>1</v>
      </c>
      <c r="N219" s="5">
        <f t="shared" si="10"/>
        <v>1</v>
      </c>
      <c r="O219" s="4">
        <v>420.12</v>
      </c>
      <c r="P219" s="6">
        <v>0</v>
      </c>
      <c r="Q219" s="4">
        <v>420.12</v>
      </c>
      <c r="R219" s="4">
        <f t="shared" si="11"/>
        <v>420.12</v>
      </c>
      <c r="S219" s="4">
        <v>-30.59</v>
      </c>
      <c r="T219" s="2" t="s">
        <v>87</v>
      </c>
      <c r="U219" s="2" t="s">
        <v>56</v>
      </c>
    </row>
    <row r="220" spans="1:21" x14ac:dyDescent="0.3">
      <c r="A220" s="2" t="s">
        <v>653</v>
      </c>
      <c r="B220" s="12">
        <v>45137</v>
      </c>
      <c r="C220" s="3" t="s">
        <v>323</v>
      </c>
      <c r="D220" s="2" t="s">
        <v>91</v>
      </c>
      <c r="E220" s="2" t="s">
        <v>35</v>
      </c>
      <c r="F220" s="2" t="s">
        <v>53</v>
      </c>
      <c r="G220" t="str">
        <f t="shared" si="9"/>
        <v>West</v>
      </c>
      <c r="H220" s="2" t="s">
        <v>36</v>
      </c>
      <c r="I220" s="2" t="s">
        <v>54</v>
      </c>
      <c r="J220" s="2" t="s">
        <v>38</v>
      </c>
      <c r="K220" s="2" t="s">
        <v>60</v>
      </c>
      <c r="L220" s="2" t="s">
        <v>116</v>
      </c>
      <c r="M220" s="5">
        <v>7</v>
      </c>
      <c r="N220" s="5">
        <f t="shared" si="10"/>
        <v>7</v>
      </c>
      <c r="O220" s="4">
        <v>225.48</v>
      </c>
      <c r="P220" s="6">
        <v>0</v>
      </c>
      <c r="Q220" s="4">
        <v>1578.36</v>
      </c>
      <c r="R220" s="4">
        <f t="shared" si="11"/>
        <v>1578.36</v>
      </c>
      <c r="S220" s="4">
        <v>422.02</v>
      </c>
      <c r="T220" s="2" t="s">
        <v>87</v>
      </c>
      <c r="U220" s="2" t="s">
        <v>56</v>
      </c>
    </row>
    <row r="221" spans="1:21" x14ac:dyDescent="0.3">
      <c r="A221" s="2" t="s">
        <v>655</v>
      </c>
      <c r="B221" s="12">
        <v>45013</v>
      </c>
      <c r="C221" s="3" t="s">
        <v>657</v>
      </c>
      <c r="D221" s="2" t="s">
        <v>34</v>
      </c>
      <c r="E221" s="2" t="s">
        <v>22</v>
      </c>
      <c r="F221" s="2" t="s">
        <v>67</v>
      </c>
      <c r="G221" t="str">
        <f t="shared" si="9"/>
        <v>East</v>
      </c>
      <c r="H221" s="2" t="s">
        <v>36</v>
      </c>
      <c r="I221" s="2" t="s">
        <v>54</v>
      </c>
      <c r="J221" s="2" t="s">
        <v>78</v>
      </c>
      <c r="K221" s="2" t="s">
        <v>93</v>
      </c>
      <c r="L221" s="2" t="s">
        <v>94</v>
      </c>
      <c r="M221" s="5">
        <v>3</v>
      </c>
      <c r="N221" s="5">
        <f t="shared" si="10"/>
        <v>3</v>
      </c>
      <c r="O221" s="4">
        <v>289.64999999999998</v>
      </c>
      <c r="P221" s="6">
        <v>0.15</v>
      </c>
      <c r="Q221" s="4">
        <v>738.61</v>
      </c>
      <c r="R221" s="4">
        <f t="shared" si="11"/>
        <v>738.61</v>
      </c>
      <c r="S221" s="4">
        <v>-107.53</v>
      </c>
      <c r="T221" s="2" t="s">
        <v>41</v>
      </c>
      <c r="U221" s="2" t="s">
        <v>56</v>
      </c>
    </row>
    <row r="222" spans="1:21" x14ac:dyDescent="0.3">
      <c r="A222" s="2" t="s">
        <v>658</v>
      </c>
      <c r="B222" s="12">
        <v>45329</v>
      </c>
      <c r="C222" s="3" t="s">
        <v>660</v>
      </c>
      <c r="D222" s="2" t="s">
        <v>76</v>
      </c>
      <c r="E222" s="2" t="s">
        <v>22</v>
      </c>
      <c r="F222" s="2" t="s">
        <v>53</v>
      </c>
      <c r="G222" t="str">
        <f t="shared" si="9"/>
        <v>West</v>
      </c>
      <c r="H222" s="2" t="s">
        <v>108</v>
      </c>
      <c r="I222" s="2" t="s">
        <v>115</v>
      </c>
      <c r="J222" s="2" t="s">
        <v>78</v>
      </c>
      <c r="K222" s="2" t="s">
        <v>79</v>
      </c>
      <c r="L222" s="2" t="s">
        <v>80</v>
      </c>
      <c r="M222" s="5">
        <v>6</v>
      </c>
      <c r="N222" s="5">
        <f t="shared" si="10"/>
        <v>6</v>
      </c>
      <c r="O222" s="4">
        <v>148.58000000000001</v>
      </c>
      <c r="P222" s="6">
        <v>0.1</v>
      </c>
      <c r="Q222" s="4">
        <v>802.33</v>
      </c>
      <c r="R222" s="4">
        <f t="shared" si="11"/>
        <v>802.33</v>
      </c>
      <c r="S222" s="4">
        <v>-58.2</v>
      </c>
      <c r="T222" s="2" t="s">
        <v>29</v>
      </c>
      <c r="U222" s="2" t="s">
        <v>62</v>
      </c>
    </row>
    <row r="223" spans="1:21" x14ac:dyDescent="0.3">
      <c r="A223" s="2" t="s">
        <v>661</v>
      </c>
      <c r="B223" s="12">
        <v>45404</v>
      </c>
      <c r="C223" s="3" t="s">
        <v>663</v>
      </c>
      <c r="D223" s="2" t="s">
        <v>91</v>
      </c>
      <c r="E223" s="2" t="s">
        <v>35</v>
      </c>
      <c r="F223" s="2" t="s">
        <v>53</v>
      </c>
      <c r="G223" t="str">
        <f t="shared" si="9"/>
        <v>West</v>
      </c>
      <c r="H223" s="2" t="s">
        <v>84</v>
      </c>
      <c r="I223" s="2" t="s">
        <v>131</v>
      </c>
      <c r="J223" s="2" t="s">
        <v>78</v>
      </c>
      <c r="K223" s="2" t="s">
        <v>93</v>
      </c>
      <c r="L223" s="2" t="s">
        <v>94</v>
      </c>
      <c r="M223" s="5">
        <v>2</v>
      </c>
      <c r="N223" s="5">
        <f t="shared" si="10"/>
        <v>2</v>
      </c>
      <c r="O223" s="4">
        <v>244.88</v>
      </c>
      <c r="P223" s="6">
        <v>0.05</v>
      </c>
      <c r="Q223" s="4">
        <v>465.27</v>
      </c>
      <c r="R223" s="4">
        <f t="shared" si="11"/>
        <v>465.27</v>
      </c>
      <c r="S223" s="4">
        <v>12.97</v>
      </c>
      <c r="T223" s="2" t="s">
        <v>41</v>
      </c>
      <c r="U223" s="2" t="s">
        <v>30</v>
      </c>
    </row>
    <row r="224" spans="1:21" x14ac:dyDescent="0.3">
      <c r="A224" s="2" t="s">
        <v>664</v>
      </c>
      <c r="B224" s="12">
        <v>45262</v>
      </c>
      <c r="C224" s="3" t="s">
        <v>162</v>
      </c>
      <c r="D224" s="2" t="s">
        <v>91</v>
      </c>
      <c r="E224" s="2" t="s">
        <v>35</v>
      </c>
      <c r="F224" s="2" t="s">
        <v>53</v>
      </c>
      <c r="G224" t="str">
        <f t="shared" si="9"/>
        <v>West</v>
      </c>
      <c r="H224" s="2" t="s">
        <v>68</v>
      </c>
      <c r="I224" s="2" t="s">
        <v>320</v>
      </c>
      <c r="J224" s="2" t="s">
        <v>38</v>
      </c>
      <c r="K224" s="2" t="s">
        <v>39</v>
      </c>
      <c r="L224" s="2" t="s">
        <v>165</v>
      </c>
      <c r="M224" s="5">
        <v>4</v>
      </c>
      <c r="N224" s="5">
        <f t="shared" si="10"/>
        <v>4</v>
      </c>
      <c r="O224" s="4">
        <v>436.03</v>
      </c>
      <c r="P224" s="6">
        <v>0.15</v>
      </c>
      <c r="Q224" s="4">
        <v>1482.5</v>
      </c>
      <c r="R224" s="4">
        <f t="shared" si="11"/>
        <v>1482.5</v>
      </c>
      <c r="S224" s="4">
        <v>83.3</v>
      </c>
      <c r="T224" s="2" t="s">
        <v>87</v>
      </c>
      <c r="U224" s="2" t="s">
        <v>62</v>
      </c>
    </row>
    <row r="225" spans="1:21" x14ac:dyDescent="0.3">
      <c r="A225" s="2" t="s">
        <v>666</v>
      </c>
      <c r="B225" s="12">
        <v>45400</v>
      </c>
      <c r="C225" s="3" t="s">
        <v>668</v>
      </c>
      <c r="D225" s="2" t="s">
        <v>66</v>
      </c>
      <c r="E225" s="2" t="s">
        <v>22</v>
      </c>
      <c r="F225" s="2" t="s">
        <v>53</v>
      </c>
      <c r="G225" t="str">
        <f t="shared" si="9"/>
        <v>West</v>
      </c>
      <c r="H225" s="2" t="s">
        <v>24</v>
      </c>
      <c r="I225" s="2" t="s">
        <v>125</v>
      </c>
      <c r="J225" s="2" t="s">
        <v>38</v>
      </c>
      <c r="K225" s="2" t="s">
        <v>60</v>
      </c>
      <c r="L225" s="2" t="s">
        <v>61</v>
      </c>
      <c r="M225" s="5">
        <v>2</v>
      </c>
      <c r="N225" s="5">
        <f t="shared" si="10"/>
        <v>2</v>
      </c>
      <c r="O225" s="4">
        <v>13.28</v>
      </c>
      <c r="P225" s="6">
        <v>0.05</v>
      </c>
      <c r="Q225" s="4">
        <v>25.23</v>
      </c>
      <c r="R225" s="4">
        <f t="shared" si="11"/>
        <v>25.23</v>
      </c>
      <c r="S225" s="4">
        <v>-3.02</v>
      </c>
      <c r="T225" s="2" t="s">
        <v>41</v>
      </c>
      <c r="U225" s="2" t="s">
        <v>30</v>
      </c>
    </row>
    <row r="226" spans="1:21" x14ac:dyDescent="0.3">
      <c r="A226" s="2" t="s">
        <v>669</v>
      </c>
      <c r="B226" s="12">
        <v>44993</v>
      </c>
      <c r="C226" s="3" t="s">
        <v>112</v>
      </c>
      <c r="D226" s="2" t="s">
        <v>21</v>
      </c>
      <c r="E226" s="2" t="s">
        <v>35</v>
      </c>
      <c r="F226" s="2" t="s">
        <v>23</v>
      </c>
      <c r="G226" t="str">
        <f t="shared" si="9"/>
        <v>South</v>
      </c>
      <c r="H226" s="2" t="s">
        <v>68</v>
      </c>
      <c r="I226" s="2" t="s">
        <v>77</v>
      </c>
      <c r="J226" s="2" t="s">
        <v>38</v>
      </c>
      <c r="K226" s="2" t="s">
        <v>60</v>
      </c>
      <c r="L226" s="2" t="s">
        <v>116</v>
      </c>
      <c r="M226" s="5">
        <v>8</v>
      </c>
      <c r="N226" s="5">
        <f t="shared" si="10"/>
        <v>8</v>
      </c>
      <c r="O226" s="4">
        <v>365.71</v>
      </c>
      <c r="P226" s="6">
        <v>0</v>
      </c>
      <c r="Q226" s="4">
        <v>2925.68</v>
      </c>
      <c r="R226" s="4">
        <f t="shared" si="11"/>
        <v>2925.68</v>
      </c>
      <c r="S226" s="4">
        <v>691.44</v>
      </c>
      <c r="T226" s="2" t="s">
        <v>55</v>
      </c>
      <c r="U226" s="2" t="s">
        <v>72</v>
      </c>
    </row>
    <row r="227" spans="1:21" x14ac:dyDescent="0.3">
      <c r="A227" s="2" t="s">
        <v>671</v>
      </c>
      <c r="B227" s="12">
        <v>45331</v>
      </c>
      <c r="C227" s="3" t="s">
        <v>142</v>
      </c>
      <c r="D227" s="2" t="s">
        <v>91</v>
      </c>
      <c r="E227" s="2" t="s">
        <v>45</v>
      </c>
      <c r="F227" s="2" t="s">
        <v>23</v>
      </c>
      <c r="G227" t="str">
        <f t="shared" si="9"/>
        <v>South</v>
      </c>
      <c r="H227" s="2" t="s">
        <v>47</v>
      </c>
      <c r="I227" s="2" t="s">
        <v>121</v>
      </c>
      <c r="J227" s="2" t="s">
        <v>26</v>
      </c>
      <c r="K227" s="2" t="s">
        <v>27</v>
      </c>
      <c r="L227" s="2" t="s">
        <v>28</v>
      </c>
      <c r="M227" s="5">
        <v>7</v>
      </c>
      <c r="N227" s="5">
        <f t="shared" si="10"/>
        <v>7</v>
      </c>
      <c r="O227" s="4">
        <v>309.98</v>
      </c>
      <c r="P227" s="6">
        <v>0.05</v>
      </c>
      <c r="Q227" s="4">
        <v>2061.37</v>
      </c>
      <c r="R227" s="4">
        <f t="shared" si="11"/>
        <v>2061.37</v>
      </c>
      <c r="S227" s="4">
        <v>-35.43</v>
      </c>
      <c r="T227" s="2" t="s">
        <v>29</v>
      </c>
      <c r="U227" s="2" t="s">
        <v>62</v>
      </c>
    </row>
    <row r="228" spans="1:21" x14ac:dyDescent="0.3">
      <c r="A228" s="2" t="s">
        <v>673</v>
      </c>
      <c r="B228" s="12">
        <v>45229</v>
      </c>
      <c r="C228" s="3" t="s">
        <v>296</v>
      </c>
      <c r="D228" s="2" t="s">
        <v>52</v>
      </c>
      <c r="E228" s="2" t="s">
        <v>22</v>
      </c>
      <c r="F228" s="2" t="s">
        <v>67</v>
      </c>
      <c r="G228" t="str">
        <f t="shared" si="9"/>
        <v>East</v>
      </c>
      <c r="H228" s="2" t="s">
        <v>47</v>
      </c>
      <c r="I228" s="2" t="s">
        <v>48</v>
      </c>
      <c r="J228" s="2" t="s">
        <v>26</v>
      </c>
      <c r="K228" s="2" t="s">
        <v>27</v>
      </c>
      <c r="L228" s="2" t="s">
        <v>139</v>
      </c>
      <c r="M228" s="5">
        <v>8</v>
      </c>
      <c r="N228" s="5">
        <f t="shared" si="10"/>
        <v>8</v>
      </c>
      <c r="O228" s="4">
        <v>34.950000000000003</v>
      </c>
      <c r="P228" s="6">
        <v>0.1</v>
      </c>
      <c r="Q228" s="4">
        <v>251.64</v>
      </c>
      <c r="R228" s="4">
        <f t="shared" si="11"/>
        <v>251.64</v>
      </c>
      <c r="S228" s="4">
        <v>-0.96</v>
      </c>
      <c r="T228" s="2" t="s">
        <v>29</v>
      </c>
      <c r="U228" s="2" t="s">
        <v>72</v>
      </c>
    </row>
    <row r="229" spans="1:21" x14ac:dyDescent="0.3">
      <c r="A229" s="2" t="s">
        <v>674</v>
      </c>
      <c r="B229" s="12">
        <v>45294</v>
      </c>
      <c r="C229" s="3" t="s">
        <v>675</v>
      </c>
      <c r="D229" s="2" t="s">
        <v>91</v>
      </c>
      <c r="E229" s="2" t="s">
        <v>35</v>
      </c>
      <c r="F229" s="2" t="s">
        <v>53</v>
      </c>
      <c r="G229" t="str">
        <f t="shared" si="9"/>
        <v>West</v>
      </c>
      <c r="H229" s="2" t="s">
        <v>47</v>
      </c>
      <c r="I229" s="2" t="s">
        <v>164</v>
      </c>
      <c r="J229" s="2" t="s">
        <v>26</v>
      </c>
      <c r="K229" s="2" t="s">
        <v>27</v>
      </c>
      <c r="L229" s="2" t="s">
        <v>179</v>
      </c>
      <c r="M229" s="5">
        <v>8</v>
      </c>
      <c r="N229" s="5">
        <f t="shared" si="10"/>
        <v>8</v>
      </c>
      <c r="O229" s="4">
        <v>160.06</v>
      </c>
      <c r="P229" s="6">
        <v>0.2</v>
      </c>
      <c r="Q229" s="4">
        <v>1024.3800000000001</v>
      </c>
      <c r="R229" s="4">
        <f t="shared" si="11"/>
        <v>1024.3800000000001</v>
      </c>
      <c r="S229" s="4">
        <v>52.35</v>
      </c>
      <c r="T229" s="2" t="s">
        <v>55</v>
      </c>
      <c r="U229" s="2" t="s">
        <v>30</v>
      </c>
    </row>
    <row r="230" spans="1:21" x14ac:dyDescent="0.3">
      <c r="A230" s="2" t="s">
        <v>676</v>
      </c>
      <c r="B230" s="12">
        <v>44986</v>
      </c>
      <c r="C230" s="3" t="s">
        <v>460</v>
      </c>
      <c r="D230" s="2" t="s">
        <v>52</v>
      </c>
      <c r="E230" s="2" t="s">
        <v>22</v>
      </c>
      <c r="F230" s="2" t="s">
        <v>67</v>
      </c>
      <c r="G230" t="str">
        <f t="shared" si="9"/>
        <v>East</v>
      </c>
      <c r="H230" s="2" t="s">
        <v>47</v>
      </c>
      <c r="I230" s="2" t="s">
        <v>164</v>
      </c>
      <c r="J230" s="2" t="s">
        <v>78</v>
      </c>
      <c r="K230" s="2" t="s">
        <v>79</v>
      </c>
      <c r="L230" s="2" t="s">
        <v>378</v>
      </c>
      <c r="M230" s="5">
        <v>6</v>
      </c>
      <c r="N230" s="5">
        <f t="shared" si="10"/>
        <v>6</v>
      </c>
      <c r="O230" s="4">
        <v>346.94</v>
      </c>
      <c r="P230" s="6">
        <v>0.05</v>
      </c>
      <c r="Q230" s="4">
        <v>1977.56</v>
      </c>
      <c r="R230" s="4">
        <f t="shared" si="11"/>
        <v>1977.56</v>
      </c>
      <c r="S230" s="4">
        <v>530.04999999999995</v>
      </c>
      <c r="T230" s="2" t="s">
        <v>29</v>
      </c>
      <c r="U230" s="2" t="s">
        <v>62</v>
      </c>
    </row>
    <row r="231" spans="1:21" x14ac:dyDescent="0.3">
      <c r="A231" s="2" t="s">
        <v>677</v>
      </c>
      <c r="B231" s="12">
        <v>45324</v>
      </c>
      <c r="C231" s="3" t="s">
        <v>463</v>
      </c>
      <c r="D231" s="2" t="s">
        <v>147</v>
      </c>
      <c r="E231" s="2" t="s">
        <v>22</v>
      </c>
      <c r="F231" s="2" t="s">
        <v>46</v>
      </c>
      <c r="G231" t="str">
        <f t="shared" si="9"/>
        <v>Central</v>
      </c>
      <c r="H231" s="2" t="s">
        <v>84</v>
      </c>
      <c r="I231" s="2" t="s">
        <v>85</v>
      </c>
      <c r="J231" s="2" t="s">
        <v>26</v>
      </c>
      <c r="K231" s="2" t="s">
        <v>70</v>
      </c>
      <c r="L231" s="2" t="s">
        <v>86</v>
      </c>
      <c r="M231" s="5">
        <v>3</v>
      </c>
      <c r="N231" s="5">
        <f t="shared" si="10"/>
        <v>3</v>
      </c>
      <c r="O231" s="4">
        <v>112.56</v>
      </c>
      <c r="P231" s="6">
        <v>0.1</v>
      </c>
      <c r="Q231" s="4">
        <v>303.91000000000003</v>
      </c>
      <c r="R231" s="4">
        <f t="shared" si="11"/>
        <v>303.91000000000003</v>
      </c>
      <c r="S231" s="4">
        <v>58</v>
      </c>
      <c r="T231" s="2" t="s">
        <v>55</v>
      </c>
      <c r="U231" s="2" t="s">
        <v>62</v>
      </c>
    </row>
    <row r="232" spans="1:21" x14ac:dyDescent="0.3">
      <c r="A232" s="2" t="s">
        <v>679</v>
      </c>
      <c r="B232" s="12">
        <v>45482</v>
      </c>
      <c r="C232" s="3" t="s">
        <v>632</v>
      </c>
      <c r="D232" s="2" t="s">
        <v>147</v>
      </c>
      <c r="E232" s="2" t="s">
        <v>22</v>
      </c>
      <c r="F232" s="2" t="s">
        <v>23</v>
      </c>
      <c r="G232" t="str">
        <f t="shared" si="9"/>
        <v>South</v>
      </c>
      <c r="H232" s="2" t="s">
        <v>84</v>
      </c>
      <c r="I232" s="2" t="s">
        <v>85</v>
      </c>
      <c r="J232" s="2" t="s">
        <v>78</v>
      </c>
      <c r="K232" s="2" t="s">
        <v>93</v>
      </c>
      <c r="L232" s="2" t="s">
        <v>94</v>
      </c>
      <c r="M232" s="5">
        <v>8</v>
      </c>
      <c r="N232" s="5">
        <f t="shared" si="10"/>
        <v>8</v>
      </c>
      <c r="O232" s="4">
        <v>24.78</v>
      </c>
      <c r="P232" s="6">
        <v>0</v>
      </c>
      <c r="Q232" s="4">
        <v>198.24</v>
      </c>
      <c r="R232" s="4">
        <f t="shared" si="11"/>
        <v>198.24</v>
      </c>
      <c r="S232" s="4">
        <v>-14.47</v>
      </c>
      <c r="T232" s="2" t="s">
        <v>41</v>
      </c>
      <c r="U232" s="2" t="s">
        <v>62</v>
      </c>
    </row>
    <row r="233" spans="1:21" x14ac:dyDescent="0.3">
      <c r="A233" s="2" t="s">
        <v>680</v>
      </c>
      <c r="B233" s="12">
        <v>45275</v>
      </c>
      <c r="C233" s="3" t="s">
        <v>682</v>
      </c>
      <c r="D233" s="2" t="s">
        <v>21</v>
      </c>
      <c r="E233" s="2" t="s">
        <v>22</v>
      </c>
      <c r="F233" s="2" t="s">
        <v>46</v>
      </c>
      <c r="G233" t="str">
        <f t="shared" si="9"/>
        <v>Central</v>
      </c>
      <c r="H233" s="2" t="s">
        <v>108</v>
      </c>
      <c r="I233" s="2" t="s">
        <v>157</v>
      </c>
      <c r="J233" s="2" t="s">
        <v>38</v>
      </c>
      <c r="K233" s="2" t="s">
        <v>39</v>
      </c>
      <c r="L233" s="2" t="s">
        <v>98</v>
      </c>
      <c r="M233" s="5">
        <v>6</v>
      </c>
      <c r="N233" s="5">
        <f t="shared" si="10"/>
        <v>6</v>
      </c>
      <c r="O233" s="4">
        <v>34.32</v>
      </c>
      <c r="P233" s="6">
        <v>0.05</v>
      </c>
      <c r="Q233" s="4">
        <v>195.62</v>
      </c>
      <c r="R233" s="4">
        <f t="shared" si="11"/>
        <v>195.62</v>
      </c>
      <c r="S233" s="4">
        <v>17.57</v>
      </c>
      <c r="T233" s="2" t="s">
        <v>41</v>
      </c>
      <c r="U233" s="2" t="s">
        <v>72</v>
      </c>
    </row>
    <row r="234" spans="1:21" x14ac:dyDescent="0.3">
      <c r="A234" s="2" t="s">
        <v>683</v>
      </c>
      <c r="B234" s="12">
        <v>45030</v>
      </c>
      <c r="C234" s="3" t="s">
        <v>685</v>
      </c>
      <c r="D234" s="2" t="s">
        <v>120</v>
      </c>
      <c r="E234" s="2" t="s">
        <v>22</v>
      </c>
      <c r="F234" s="2" t="s">
        <v>46</v>
      </c>
      <c r="G234" t="str">
        <f t="shared" si="9"/>
        <v>Central</v>
      </c>
      <c r="H234" s="2" t="s">
        <v>84</v>
      </c>
      <c r="I234" s="2" t="s">
        <v>131</v>
      </c>
      <c r="J234" s="2" t="s">
        <v>26</v>
      </c>
      <c r="K234" s="2" t="s">
        <v>70</v>
      </c>
      <c r="L234" s="2" t="s">
        <v>71</v>
      </c>
      <c r="M234" s="5">
        <v>6</v>
      </c>
      <c r="N234" s="5">
        <f t="shared" si="10"/>
        <v>6</v>
      </c>
      <c r="O234" s="4">
        <v>68.31</v>
      </c>
      <c r="P234" s="6">
        <v>0.05</v>
      </c>
      <c r="Q234" s="4">
        <v>389.37</v>
      </c>
      <c r="R234" s="4">
        <f t="shared" si="11"/>
        <v>389.37</v>
      </c>
      <c r="S234" s="4">
        <v>61.09</v>
      </c>
      <c r="T234" s="2" t="s">
        <v>41</v>
      </c>
      <c r="U234" s="2" t="s">
        <v>62</v>
      </c>
    </row>
    <row r="235" spans="1:21" x14ac:dyDescent="0.3">
      <c r="A235" s="2" t="s">
        <v>686</v>
      </c>
      <c r="B235" s="12">
        <v>45530</v>
      </c>
      <c r="C235" s="3" t="s">
        <v>688</v>
      </c>
      <c r="D235" s="2" t="s">
        <v>34</v>
      </c>
      <c r="E235" s="2" t="s">
        <v>22</v>
      </c>
      <c r="F235" s="2" t="s">
        <v>53</v>
      </c>
      <c r="G235" t="str">
        <f t="shared" si="9"/>
        <v>West</v>
      </c>
      <c r="H235" s="2" t="s">
        <v>68</v>
      </c>
      <c r="I235" s="2" t="s">
        <v>69</v>
      </c>
      <c r="J235" s="2" t="s">
        <v>26</v>
      </c>
      <c r="K235" s="2" t="s">
        <v>27</v>
      </c>
      <c r="L235" s="2" t="s">
        <v>28</v>
      </c>
      <c r="M235" s="5">
        <v>5</v>
      </c>
      <c r="N235" s="5">
        <f t="shared" si="10"/>
        <v>5</v>
      </c>
      <c r="O235" s="4">
        <v>332.43</v>
      </c>
      <c r="P235" s="6">
        <v>0.1</v>
      </c>
      <c r="Q235" s="4">
        <v>1495.94</v>
      </c>
      <c r="R235" s="4">
        <f t="shared" si="11"/>
        <v>1495.94</v>
      </c>
      <c r="S235" s="4">
        <v>-181.64</v>
      </c>
      <c r="T235" s="2" t="s">
        <v>41</v>
      </c>
      <c r="U235" s="2" t="s">
        <v>62</v>
      </c>
    </row>
    <row r="236" spans="1:21" x14ac:dyDescent="0.3">
      <c r="A236" s="2" t="s">
        <v>689</v>
      </c>
      <c r="B236" s="12">
        <v>45506</v>
      </c>
      <c r="C236" s="3" t="s">
        <v>607</v>
      </c>
      <c r="D236" s="2" t="s">
        <v>76</v>
      </c>
      <c r="E236" s="2" t="s">
        <v>22</v>
      </c>
      <c r="F236" s="2" t="s">
        <v>53</v>
      </c>
      <c r="G236" t="str">
        <f t="shared" si="9"/>
        <v>West</v>
      </c>
      <c r="H236" s="2" t="s">
        <v>24</v>
      </c>
      <c r="I236" s="2" t="s">
        <v>59</v>
      </c>
      <c r="J236" s="2" t="s">
        <v>26</v>
      </c>
      <c r="K236" s="2" t="s">
        <v>27</v>
      </c>
      <c r="L236" s="2" t="s">
        <v>139</v>
      </c>
      <c r="M236" s="5">
        <v>3</v>
      </c>
      <c r="N236" s="5">
        <f t="shared" si="10"/>
        <v>3</v>
      </c>
      <c r="O236" s="4">
        <v>154.38</v>
      </c>
      <c r="P236" s="6">
        <v>0</v>
      </c>
      <c r="Q236" s="4">
        <v>463.14</v>
      </c>
      <c r="R236" s="4">
        <f t="shared" si="11"/>
        <v>463.14</v>
      </c>
      <c r="S236" s="4">
        <v>-32.659999999999997</v>
      </c>
      <c r="T236" s="2" t="s">
        <v>41</v>
      </c>
      <c r="U236" s="2" t="s">
        <v>72</v>
      </c>
    </row>
    <row r="237" spans="1:21" x14ac:dyDescent="0.3">
      <c r="A237" s="2" t="s">
        <v>690</v>
      </c>
      <c r="B237" s="12">
        <v>45198</v>
      </c>
      <c r="C237" s="3" t="s">
        <v>692</v>
      </c>
      <c r="D237" s="2" t="s">
        <v>34</v>
      </c>
      <c r="E237" s="2" t="s">
        <v>45</v>
      </c>
      <c r="F237" s="2" t="s">
        <v>23</v>
      </c>
      <c r="G237" t="str">
        <f t="shared" si="9"/>
        <v>South</v>
      </c>
      <c r="H237" s="2" t="s">
        <v>68</v>
      </c>
      <c r="I237" s="2" t="s">
        <v>320</v>
      </c>
      <c r="J237" s="2" t="s">
        <v>38</v>
      </c>
      <c r="K237" s="2" t="s">
        <v>60</v>
      </c>
      <c r="L237" s="2" t="s">
        <v>116</v>
      </c>
      <c r="M237" s="5">
        <v>2</v>
      </c>
      <c r="N237" s="5">
        <f t="shared" si="10"/>
        <v>2</v>
      </c>
      <c r="O237" s="4">
        <v>162.91</v>
      </c>
      <c r="P237" s="6">
        <v>0</v>
      </c>
      <c r="Q237" s="4">
        <v>325.82</v>
      </c>
      <c r="R237" s="4">
        <f t="shared" si="11"/>
        <v>325.82</v>
      </c>
      <c r="S237" s="4">
        <v>49.33</v>
      </c>
      <c r="T237" s="2" t="s">
        <v>87</v>
      </c>
      <c r="U237" s="2" t="s">
        <v>72</v>
      </c>
    </row>
    <row r="238" spans="1:21" x14ac:dyDescent="0.3">
      <c r="A238" s="2" t="s">
        <v>693</v>
      </c>
      <c r="B238" s="12">
        <v>45286</v>
      </c>
      <c r="C238" s="3" t="s">
        <v>695</v>
      </c>
      <c r="D238" s="2" t="s">
        <v>76</v>
      </c>
      <c r="E238" s="2" t="s">
        <v>45</v>
      </c>
      <c r="F238" s="2" t="s">
        <v>53</v>
      </c>
      <c r="G238" t="str">
        <f t="shared" si="9"/>
        <v>West</v>
      </c>
      <c r="H238" s="2" t="s">
        <v>36</v>
      </c>
      <c r="I238" s="2" t="s">
        <v>92</v>
      </c>
      <c r="J238" s="2" t="s">
        <v>78</v>
      </c>
      <c r="K238" s="2" t="s">
        <v>93</v>
      </c>
      <c r="L238" s="2" t="s">
        <v>94</v>
      </c>
      <c r="M238" s="5">
        <v>2</v>
      </c>
      <c r="N238" s="5">
        <f t="shared" si="10"/>
        <v>2</v>
      </c>
      <c r="O238" s="4">
        <v>374.33</v>
      </c>
      <c r="P238" s="6">
        <v>0.2</v>
      </c>
      <c r="Q238" s="4">
        <v>598.92999999999995</v>
      </c>
      <c r="R238" s="4">
        <f t="shared" si="11"/>
        <v>598.92999999999995</v>
      </c>
      <c r="S238" s="4">
        <v>71.540000000000006</v>
      </c>
      <c r="T238" s="2" t="s">
        <v>41</v>
      </c>
      <c r="U238" s="2" t="s">
        <v>30</v>
      </c>
    </row>
    <row r="239" spans="1:21" x14ac:dyDescent="0.3">
      <c r="A239" s="2" t="s">
        <v>696</v>
      </c>
      <c r="B239" s="12">
        <v>45194</v>
      </c>
      <c r="C239" s="3" t="s">
        <v>697</v>
      </c>
      <c r="D239" s="2" t="s">
        <v>21</v>
      </c>
      <c r="E239" s="2" t="s">
        <v>45</v>
      </c>
      <c r="F239" s="2" t="s">
        <v>23</v>
      </c>
      <c r="G239" t="str">
        <f t="shared" si="9"/>
        <v>South</v>
      </c>
      <c r="H239" s="2" t="s">
        <v>24</v>
      </c>
      <c r="I239" s="2" t="s">
        <v>125</v>
      </c>
      <c r="J239" s="2" t="s">
        <v>78</v>
      </c>
      <c r="K239" s="2" t="s">
        <v>79</v>
      </c>
      <c r="L239" s="2" t="s">
        <v>143</v>
      </c>
      <c r="M239" s="5">
        <v>6</v>
      </c>
      <c r="N239" s="5">
        <f t="shared" si="10"/>
        <v>6</v>
      </c>
      <c r="O239" s="4">
        <v>83.19</v>
      </c>
      <c r="P239" s="6">
        <v>0.15</v>
      </c>
      <c r="Q239" s="4">
        <v>424.27</v>
      </c>
      <c r="R239" s="4">
        <f t="shared" si="11"/>
        <v>424.27</v>
      </c>
      <c r="S239" s="4">
        <v>-44.97</v>
      </c>
      <c r="T239" s="2" t="s">
        <v>29</v>
      </c>
      <c r="U239" s="2" t="s">
        <v>72</v>
      </c>
    </row>
    <row r="240" spans="1:21" x14ac:dyDescent="0.3">
      <c r="A240" s="2" t="s">
        <v>698</v>
      </c>
      <c r="B240" s="12">
        <v>45095</v>
      </c>
      <c r="C240" s="3" t="s">
        <v>700</v>
      </c>
      <c r="D240" s="2" t="s">
        <v>34</v>
      </c>
      <c r="E240" s="2" t="s">
        <v>22</v>
      </c>
      <c r="F240" s="2" t="s">
        <v>46</v>
      </c>
      <c r="G240" t="str">
        <f t="shared" si="9"/>
        <v>Central</v>
      </c>
      <c r="H240" s="2" t="s">
        <v>36</v>
      </c>
      <c r="I240" s="2" t="s">
        <v>92</v>
      </c>
      <c r="J240" s="2" t="s">
        <v>26</v>
      </c>
      <c r="K240" s="2" t="s">
        <v>27</v>
      </c>
      <c r="L240" s="2" t="s">
        <v>139</v>
      </c>
      <c r="M240" s="5">
        <v>3</v>
      </c>
      <c r="N240" s="5">
        <f t="shared" si="10"/>
        <v>3</v>
      </c>
      <c r="O240" s="4">
        <v>31.67</v>
      </c>
      <c r="P240" s="6">
        <v>0.1</v>
      </c>
      <c r="Q240" s="4">
        <v>85.51</v>
      </c>
      <c r="R240" s="4">
        <f t="shared" si="11"/>
        <v>85.51</v>
      </c>
      <c r="S240" s="4">
        <v>-7.31</v>
      </c>
      <c r="T240" s="2" t="s">
        <v>41</v>
      </c>
      <c r="U240" s="2" t="s">
        <v>56</v>
      </c>
    </row>
    <row r="241" spans="1:21" x14ac:dyDescent="0.3">
      <c r="A241" s="2" t="s">
        <v>701</v>
      </c>
      <c r="B241" s="12">
        <v>45025</v>
      </c>
      <c r="C241" s="3" t="s">
        <v>555</v>
      </c>
      <c r="D241" s="2" t="s">
        <v>91</v>
      </c>
      <c r="E241" s="2" t="s">
        <v>22</v>
      </c>
      <c r="F241" s="2" t="s">
        <v>23</v>
      </c>
      <c r="G241" t="str">
        <f t="shared" si="9"/>
        <v>South</v>
      </c>
      <c r="H241" s="2" t="s">
        <v>24</v>
      </c>
      <c r="I241" s="2" t="s">
        <v>59</v>
      </c>
      <c r="J241" s="2" t="s">
        <v>38</v>
      </c>
      <c r="K241" s="2" t="s">
        <v>39</v>
      </c>
      <c r="L241" s="2" t="s">
        <v>98</v>
      </c>
      <c r="M241" s="5">
        <v>8</v>
      </c>
      <c r="N241" s="5">
        <f t="shared" si="10"/>
        <v>8</v>
      </c>
      <c r="O241" s="4">
        <v>75.89</v>
      </c>
      <c r="P241" s="6">
        <v>0.1</v>
      </c>
      <c r="Q241" s="4">
        <v>546.41</v>
      </c>
      <c r="R241" s="4">
        <f t="shared" si="11"/>
        <v>546.41</v>
      </c>
      <c r="S241" s="4">
        <v>-97.39</v>
      </c>
      <c r="T241" s="2" t="s">
        <v>29</v>
      </c>
      <c r="U241" s="2" t="s">
        <v>30</v>
      </c>
    </row>
    <row r="242" spans="1:21" x14ac:dyDescent="0.3">
      <c r="A242" s="2" t="s">
        <v>703</v>
      </c>
      <c r="B242" s="12">
        <v>45101</v>
      </c>
      <c r="C242" s="3" t="s">
        <v>705</v>
      </c>
      <c r="D242" s="2" t="s">
        <v>120</v>
      </c>
      <c r="E242" s="2" t="s">
        <v>45</v>
      </c>
      <c r="F242" s="2" t="s">
        <v>46</v>
      </c>
      <c r="G242" t="str">
        <f t="shared" si="9"/>
        <v>Central</v>
      </c>
      <c r="H242" s="2" t="s">
        <v>108</v>
      </c>
      <c r="I242" s="2" t="s">
        <v>109</v>
      </c>
      <c r="J242" s="2" t="s">
        <v>38</v>
      </c>
      <c r="K242" s="2" t="s">
        <v>39</v>
      </c>
      <c r="L242" s="2" t="s">
        <v>98</v>
      </c>
      <c r="M242" s="5">
        <v>2</v>
      </c>
      <c r="N242" s="5">
        <f t="shared" si="10"/>
        <v>2</v>
      </c>
      <c r="O242" s="4">
        <v>217.32</v>
      </c>
      <c r="P242" s="6">
        <v>0</v>
      </c>
      <c r="Q242" s="4">
        <v>434.64</v>
      </c>
      <c r="R242" s="4">
        <f t="shared" si="11"/>
        <v>434.64</v>
      </c>
      <c r="S242" s="4">
        <v>-16.579999999999998</v>
      </c>
      <c r="T242" s="2" t="s">
        <v>87</v>
      </c>
      <c r="U242" s="2" t="s">
        <v>62</v>
      </c>
    </row>
    <row r="243" spans="1:21" x14ac:dyDescent="0.3">
      <c r="A243" s="2" t="s">
        <v>706</v>
      </c>
      <c r="B243" s="12">
        <v>45317</v>
      </c>
      <c r="C243" s="3" t="s">
        <v>707</v>
      </c>
      <c r="D243" s="2" t="s">
        <v>91</v>
      </c>
      <c r="E243" s="2" t="s">
        <v>22</v>
      </c>
      <c r="F243" s="2" t="s">
        <v>53</v>
      </c>
      <c r="G243" t="str">
        <f t="shared" si="9"/>
        <v>West</v>
      </c>
      <c r="H243" s="2" t="s">
        <v>84</v>
      </c>
      <c r="I243" s="2" t="s">
        <v>85</v>
      </c>
      <c r="J243" s="2" t="s">
        <v>78</v>
      </c>
      <c r="K243" s="2" t="s">
        <v>79</v>
      </c>
      <c r="L243" s="2" t="s">
        <v>80</v>
      </c>
      <c r="M243" s="5">
        <v>8</v>
      </c>
      <c r="N243" s="5">
        <f t="shared" si="10"/>
        <v>8</v>
      </c>
      <c r="O243" s="4">
        <v>27.72</v>
      </c>
      <c r="P243" s="6">
        <v>0.15</v>
      </c>
      <c r="Q243" s="4">
        <v>188.5</v>
      </c>
      <c r="R243" s="4">
        <f t="shared" si="11"/>
        <v>188.5</v>
      </c>
      <c r="S243" s="4">
        <v>6.4</v>
      </c>
      <c r="T243" s="2" t="s">
        <v>29</v>
      </c>
      <c r="U243" s="2" t="s">
        <v>30</v>
      </c>
    </row>
    <row r="244" spans="1:21" x14ac:dyDescent="0.3">
      <c r="A244" s="2" t="s">
        <v>708</v>
      </c>
      <c r="B244" s="12">
        <v>45279</v>
      </c>
      <c r="C244" s="3" t="s">
        <v>694</v>
      </c>
      <c r="D244" s="2" t="s">
        <v>120</v>
      </c>
      <c r="E244" s="2" t="s">
        <v>22</v>
      </c>
      <c r="F244" s="2" t="s">
        <v>67</v>
      </c>
      <c r="G244" t="str">
        <f t="shared" si="9"/>
        <v>East</v>
      </c>
      <c r="H244" s="2" t="s">
        <v>36</v>
      </c>
      <c r="I244" s="2" t="s">
        <v>92</v>
      </c>
      <c r="J244" s="2" t="s">
        <v>26</v>
      </c>
      <c r="K244" s="2" t="s">
        <v>27</v>
      </c>
      <c r="L244" s="2" t="s">
        <v>179</v>
      </c>
      <c r="M244" s="5">
        <v>4</v>
      </c>
      <c r="N244" s="5">
        <f t="shared" si="10"/>
        <v>4</v>
      </c>
      <c r="O244" s="4">
        <v>252.69</v>
      </c>
      <c r="P244" s="6">
        <v>0.15</v>
      </c>
      <c r="Q244" s="4">
        <v>859.15</v>
      </c>
      <c r="R244" s="4">
        <f t="shared" si="11"/>
        <v>859.15</v>
      </c>
      <c r="S244" s="4">
        <v>168.79</v>
      </c>
      <c r="T244" s="2" t="s">
        <v>41</v>
      </c>
      <c r="U244" s="2" t="s">
        <v>30</v>
      </c>
    </row>
    <row r="245" spans="1:21" x14ac:dyDescent="0.3">
      <c r="A245" s="2" t="s">
        <v>710</v>
      </c>
      <c r="B245" s="12">
        <v>44962</v>
      </c>
      <c r="C245" s="3" t="s">
        <v>711</v>
      </c>
      <c r="D245" s="2" t="s">
        <v>52</v>
      </c>
      <c r="E245" s="2" t="s">
        <v>35</v>
      </c>
      <c r="F245" s="2" t="s">
        <v>67</v>
      </c>
      <c r="G245" t="str">
        <f t="shared" si="9"/>
        <v>East</v>
      </c>
      <c r="H245" s="2" t="s">
        <v>36</v>
      </c>
      <c r="I245" s="2" t="s">
        <v>37</v>
      </c>
      <c r="J245" s="2" t="s">
        <v>78</v>
      </c>
      <c r="K245" s="2" t="s">
        <v>93</v>
      </c>
      <c r="L245" s="2" t="s">
        <v>94</v>
      </c>
      <c r="M245" s="5">
        <v>3</v>
      </c>
      <c r="N245" s="5">
        <f t="shared" si="10"/>
        <v>3</v>
      </c>
      <c r="O245" s="4">
        <v>61.16</v>
      </c>
      <c r="P245" s="6">
        <v>0.15</v>
      </c>
      <c r="Q245" s="4">
        <v>155.96</v>
      </c>
      <c r="R245" s="4">
        <f t="shared" si="11"/>
        <v>155.96</v>
      </c>
      <c r="S245" s="4">
        <v>-15.67</v>
      </c>
      <c r="T245" s="2" t="s">
        <v>87</v>
      </c>
      <c r="U245" s="2" t="s">
        <v>30</v>
      </c>
    </row>
    <row r="246" spans="1:21" x14ac:dyDescent="0.3">
      <c r="A246" s="2" t="s">
        <v>712</v>
      </c>
      <c r="B246" s="12">
        <v>45372</v>
      </c>
      <c r="C246" s="3" t="s">
        <v>714</v>
      </c>
      <c r="D246" s="2" t="s">
        <v>21</v>
      </c>
      <c r="E246" s="2" t="s">
        <v>45</v>
      </c>
      <c r="F246" s="2" t="s">
        <v>23</v>
      </c>
      <c r="G246" t="str">
        <f t="shared" si="9"/>
        <v>South</v>
      </c>
      <c r="H246" s="2" t="s">
        <v>68</v>
      </c>
      <c r="I246" s="2" t="s">
        <v>77</v>
      </c>
      <c r="J246" s="2" t="s">
        <v>26</v>
      </c>
      <c r="K246" s="2" t="s">
        <v>27</v>
      </c>
      <c r="L246" s="2" t="s">
        <v>139</v>
      </c>
      <c r="M246" s="5">
        <v>3</v>
      </c>
      <c r="N246" s="5">
        <f t="shared" si="10"/>
        <v>3</v>
      </c>
      <c r="O246" s="4">
        <v>376.68</v>
      </c>
      <c r="P246" s="6">
        <v>0.1</v>
      </c>
      <c r="Q246" s="4">
        <v>1017.04</v>
      </c>
      <c r="R246" s="4">
        <f t="shared" si="11"/>
        <v>1017.04</v>
      </c>
      <c r="S246" s="4">
        <v>-33.479999999999997</v>
      </c>
      <c r="T246" s="2" t="s">
        <v>41</v>
      </c>
      <c r="U246" s="2" t="s">
        <v>56</v>
      </c>
    </row>
    <row r="247" spans="1:21" x14ac:dyDescent="0.3">
      <c r="A247" s="2" t="s">
        <v>715</v>
      </c>
      <c r="B247" s="12">
        <v>45396</v>
      </c>
      <c r="C247" s="3" t="s">
        <v>716</v>
      </c>
      <c r="D247" s="2" t="s">
        <v>21</v>
      </c>
      <c r="E247" s="2" t="s">
        <v>22</v>
      </c>
      <c r="F247" s="2" t="s">
        <v>53</v>
      </c>
      <c r="G247" t="str">
        <f t="shared" si="9"/>
        <v>West</v>
      </c>
      <c r="H247" s="2" t="s">
        <v>24</v>
      </c>
      <c r="I247" s="2" t="s">
        <v>25</v>
      </c>
      <c r="J247" s="2" t="s">
        <v>26</v>
      </c>
      <c r="K247" s="2" t="s">
        <v>70</v>
      </c>
      <c r="L247" s="2" t="s">
        <v>222</v>
      </c>
      <c r="M247" s="5">
        <v>7</v>
      </c>
      <c r="N247" s="5">
        <f t="shared" si="10"/>
        <v>7</v>
      </c>
      <c r="O247" s="4">
        <v>57.73</v>
      </c>
      <c r="P247" s="6">
        <v>0.05</v>
      </c>
      <c r="Q247" s="4">
        <v>383.9</v>
      </c>
      <c r="R247" s="4">
        <f t="shared" si="11"/>
        <v>383.9</v>
      </c>
      <c r="S247" s="4">
        <v>-42.93</v>
      </c>
      <c r="T247" s="2" t="s">
        <v>41</v>
      </c>
      <c r="U247" s="2" t="s">
        <v>72</v>
      </c>
    </row>
    <row r="248" spans="1:21" x14ac:dyDescent="0.3">
      <c r="A248" s="2" t="s">
        <v>717</v>
      </c>
      <c r="B248" s="12">
        <v>45319</v>
      </c>
      <c r="C248" s="3" t="s">
        <v>130</v>
      </c>
      <c r="D248" s="2" t="s">
        <v>147</v>
      </c>
      <c r="E248" s="2" t="s">
        <v>45</v>
      </c>
      <c r="F248" s="2" t="s">
        <v>46</v>
      </c>
      <c r="G248" t="str">
        <f t="shared" si="9"/>
        <v>Central</v>
      </c>
      <c r="H248" s="2" t="s">
        <v>108</v>
      </c>
      <c r="I248" s="2" t="s">
        <v>109</v>
      </c>
      <c r="J248" s="2" t="s">
        <v>78</v>
      </c>
      <c r="K248" s="2" t="s">
        <v>79</v>
      </c>
      <c r="L248" s="2" t="s">
        <v>143</v>
      </c>
      <c r="M248" s="5">
        <v>8</v>
      </c>
      <c r="N248" s="5">
        <f t="shared" si="10"/>
        <v>8</v>
      </c>
      <c r="O248" s="4">
        <v>24.56</v>
      </c>
      <c r="P248" s="6">
        <v>0.1</v>
      </c>
      <c r="Q248" s="4">
        <v>176.83</v>
      </c>
      <c r="R248" s="4">
        <f t="shared" si="11"/>
        <v>176.83</v>
      </c>
      <c r="S248" s="4">
        <v>0.95</v>
      </c>
      <c r="T248" s="2" t="s">
        <v>55</v>
      </c>
      <c r="U248" s="2" t="s">
        <v>30</v>
      </c>
    </row>
    <row r="249" spans="1:21" x14ac:dyDescent="0.3">
      <c r="A249" s="2" t="s">
        <v>718</v>
      </c>
      <c r="B249" s="12">
        <v>45413</v>
      </c>
      <c r="C249" s="3" t="s">
        <v>585</v>
      </c>
      <c r="D249" s="2" t="s">
        <v>21</v>
      </c>
      <c r="E249" s="2" t="s">
        <v>35</v>
      </c>
      <c r="F249" s="2" t="s">
        <v>67</v>
      </c>
      <c r="G249" t="str">
        <f t="shared" si="9"/>
        <v>East</v>
      </c>
      <c r="H249" s="2" t="s">
        <v>84</v>
      </c>
      <c r="I249" s="2" t="s">
        <v>131</v>
      </c>
      <c r="J249" s="2" t="s">
        <v>26</v>
      </c>
      <c r="K249" s="2" t="s">
        <v>27</v>
      </c>
      <c r="L249" s="2" t="s">
        <v>179</v>
      </c>
      <c r="M249" s="5">
        <v>1</v>
      </c>
      <c r="N249" s="5">
        <f t="shared" si="10"/>
        <v>1</v>
      </c>
      <c r="O249" s="4">
        <v>157.34</v>
      </c>
      <c r="P249" s="6">
        <v>0.1</v>
      </c>
      <c r="Q249" s="4">
        <v>141.61000000000001</v>
      </c>
      <c r="R249" s="4">
        <f t="shared" si="11"/>
        <v>141.61000000000001</v>
      </c>
      <c r="S249" s="4">
        <v>-5.23</v>
      </c>
      <c r="T249" s="2" t="s">
        <v>87</v>
      </c>
      <c r="U249" s="2" t="s">
        <v>56</v>
      </c>
    </row>
    <row r="250" spans="1:21" x14ac:dyDescent="0.3">
      <c r="A250" s="2" t="s">
        <v>719</v>
      </c>
      <c r="B250" s="12">
        <v>45353</v>
      </c>
      <c r="C250" s="3" t="s">
        <v>721</v>
      </c>
      <c r="D250" s="2" t="s">
        <v>120</v>
      </c>
      <c r="E250" s="2" t="s">
        <v>22</v>
      </c>
      <c r="F250" s="2" t="s">
        <v>46</v>
      </c>
      <c r="G250" t="str">
        <f t="shared" si="9"/>
        <v>Central</v>
      </c>
      <c r="H250" s="2" t="s">
        <v>36</v>
      </c>
      <c r="I250" s="2" t="s">
        <v>37</v>
      </c>
      <c r="J250" s="2" t="s">
        <v>78</v>
      </c>
      <c r="K250" s="2" t="s">
        <v>79</v>
      </c>
      <c r="L250" s="2" t="s">
        <v>80</v>
      </c>
      <c r="M250" s="5">
        <v>2</v>
      </c>
      <c r="N250" s="5">
        <f t="shared" si="10"/>
        <v>2</v>
      </c>
      <c r="O250" s="4">
        <v>91.07</v>
      </c>
      <c r="P250" s="6">
        <v>0.05</v>
      </c>
      <c r="Q250" s="4">
        <v>173.03</v>
      </c>
      <c r="R250" s="4">
        <f t="shared" si="11"/>
        <v>173.03</v>
      </c>
      <c r="S250" s="4">
        <v>41.56</v>
      </c>
      <c r="T250" s="2" t="s">
        <v>55</v>
      </c>
      <c r="U250" s="2" t="s">
        <v>30</v>
      </c>
    </row>
    <row r="251" spans="1:21" x14ac:dyDescent="0.3">
      <c r="A251" s="2" t="s">
        <v>722</v>
      </c>
      <c r="B251" s="12">
        <v>45653</v>
      </c>
      <c r="C251" s="3" t="s">
        <v>724</v>
      </c>
      <c r="D251" s="2" t="s">
        <v>76</v>
      </c>
      <c r="E251" s="2" t="s">
        <v>35</v>
      </c>
      <c r="F251" s="2" t="s">
        <v>67</v>
      </c>
      <c r="G251" t="str">
        <f t="shared" si="9"/>
        <v>East</v>
      </c>
      <c r="H251" s="2" t="s">
        <v>36</v>
      </c>
      <c r="I251" s="2" t="s">
        <v>92</v>
      </c>
      <c r="J251" s="2" t="s">
        <v>78</v>
      </c>
      <c r="K251" s="2" t="s">
        <v>79</v>
      </c>
      <c r="L251" s="2" t="s">
        <v>80</v>
      </c>
      <c r="M251" s="5">
        <v>3</v>
      </c>
      <c r="N251" s="5">
        <f t="shared" si="10"/>
        <v>3</v>
      </c>
      <c r="O251" s="4">
        <v>352.99</v>
      </c>
      <c r="P251" s="6">
        <v>0.2</v>
      </c>
      <c r="Q251" s="4">
        <v>847.18</v>
      </c>
      <c r="R251" s="4">
        <f t="shared" si="11"/>
        <v>847.18</v>
      </c>
      <c r="S251" s="4">
        <v>190.19</v>
      </c>
      <c r="T251" s="2" t="s">
        <v>55</v>
      </c>
      <c r="U251" s="2" t="s">
        <v>30</v>
      </c>
    </row>
    <row r="252" spans="1:21" x14ac:dyDescent="0.3">
      <c r="A252"/>
      <c r="C252"/>
      <c r="D252"/>
      <c r="E252"/>
      <c r="F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3">
      <c r="A253"/>
      <c r="C253"/>
      <c r="D253"/>
      <c r="E253"/>
      <c r="F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</sheetData>
  <conditionalFormatting sqref="A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A0B8-6766-4084-A39E-46AE2B5F548E}">
  <dimension ref="A1:B10"/>
  <sheetViews>
    <sheetView workbookViewId="0">
      <selection activeCell="E11" sqref="E11"/>
    </sheetView>
  </sheetViews>
  <sheetFormatPr defaultRowHeight="14.4" x14ac:dyDescent="0.3"/>
  <cols>
    <col min="1" max="1" width="21" bestFit="1" customWidth="1"/>
    <col min="2" max="2" width="9.5546875" bestFit="1" customWidth="1"/>
  </cols>
  <sheetData>
    <row r="1" spans="1:2" x14ac:dyDescent="0.3">
      <c r="A1" t="s">
        <v>728</v>
      </c>
    </row>
    <row r="3" spans="1:2" x14ac:dyDescent="0.3">
      <c r="A3" t="s">
        <v>729</v>
      </c>
    </row>
    <row r="4" spans="1:2" x14ac:dyDescent="0.3">
      <c r="A4" t="s">
        <v>730</v>
      </c>
      <c r="B4">
        <f>SUM(Dirty_Retail_Data!O2:O251)</f>
        <v>213895.43999999989</v>
      </c>
    </row>
    <row r="5" spans="1:2" x14ac:dyDescent="0.3">
      <c r="A5" t="s">
        <v>731</v>
      </c>
      <c r="B5" s="4">
        <f>SUM(Retailed_Data!R2:R251)</f>
        <v>214419.12999999992</v>
      </c>
    </row>
    <row r="6" spans="1:2" x14ac:dyDescent="0.3">
      <c r="A6" t="s">
        <v>733</v>
      </c>
      <c r="B6" s="4">
        <f>SUM(Retailed_Data!S2:S251)</f>
        <v>8261.65</v>
      </c>
    </row>
    <row r="7" spans="1:2" x14ac:dyDescent="0.3">
      <c r="A7" t="s">
        <v>734</v>
      </c>
      <c r="B7" s="14">
        <f>IFERROR(B6/B5,0)</f>
        <v>3.8530377396830233E-2</v>
      </c>
    </row>
    <row r="8" spans="1:2" x14ac:dyDescent="0.3">
      <c r="A8" t="s">
        <v>735</v>
      </c>
      <c r="B8">
        <f>COUNTA(Retailed_Data!A2:A251)</f>
        <v>250</v>
      </c>
    </row>
    <row r="9" spans="1:2" x14ac:dyDescent="0.3">
      <c r="A9" t="s">
        <v>736</v>
      </c>
      <c r="B9" s="5">
        <f>SUM(Retailed_Data!M2:M251)</f>
        <v>1148</v>
      </c>
    </row>
    <row r="10" spans="1:2" x14ac:dyDescent="0.3">
      <c r="A10" t="s">
        <v>738</v>
      </c>
      <c r="B10" s="5">
        <f>SUM(Retailed_Data!N2:N251)</f>
        <v>1151</v>
      </c>
    </row>
  </sheetData>
  <pageMargins left="0.7" right="0.7" top="0.75" bottom="0.75" header="0.3" footer="0.3"/>
  <ignoredErrors>
    <ignoredError sqref="B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29B0-80A4-495F-B919-4E0BCBF59805}">
  <dimension ref="A3:D7"/>
  <sheetViews>
    <sheetView workbookViewId="0">
      <selection activeCell="A3" sqref="A3:D7"/>
    </sheetView>
  </sheetViews>
  <sheetFormatPr defaultRowHeight="14.4" x14ac:dyDescent="0.3"/>
  <cols>
    <col min="1" max="1" width="13.109375" bestFit="1" customWidth="1"/>
    <col min="2" max="2" width="19.44140625" bestFit="1" customWidth="1"/>
    <col min="3" max="3" width="12.109375" bestFit="1" customWidth="1"/>
    <col min="4" max="4" width="11.6640625" bestFit="1" customWidth="1"/>
  </cols>
  <sheetData>
    <row r="3" spans="1:4" x14ac:dyDescent="0.3">
      <c r="A3" s="15" t="s">
        <v>739</v>
      </c>
      <c r="B3" t="s">
        <v>741</v>
      </c>
      <c r="C3" t="s">
        <v>742</v>
      </c>
      <c r="D3" t="s">
        <v>734</v>
      </c>
    </row>
    <row r="4" spans="1:4" x14ac:dyDescent="0.3">
      <c r="A4" s="16" t="s">
        <v>38</v>
      </c>
      <c r="B4" s="4">
        <v>56783.44000000001</v>
      </c>
      <c r="C4" s="18">
        <v>2049.1099999999997</v>
      </c>
      <c r="D4" s="14">
        <f>IFERROR(C4/B4,0)</f>
        <v>3.6086401246560602E-2</v>
      </c>
    </row>
    <row r="5" spans="1:4" x14ac:dyDescent="0.3">
      <c r="A5" s="16" t="s">
        <v>78</v>
      </c>
      <c r="B5" s="4">
        <v>94587.460000000021</v>
      </c>
      <c r="C5" s="18">
        <v>3935.3599999999992</v>
      </c>
      <c r="D5" s="14">
        <f t="shared" ref="D5:D6" si="0">IFERROR(C5/B5,0)</f>
        <v>4.1605515149682616E-2</v>
      </c>
    </row>
    <row r="6" spans="1:4" x14ac:dyDescent="0.3">
      <c r="A6" s="16" t="s">
        <v>26</v>
      </c>
      <c r="B6" s="4">
        <v>63048.230000000032</v>
      </c>
      <c r="C6" s="18">
        <v>2277.1800000000021</v>
      </c>
      <c r="D6" s="14">
        <f t="shared" si="0"/>
        <v>3.6118063901238798E-2</v>
      </c>
    </row>
    <row r="7" spans="1:4" x14ac:dyDescent="0.3">
      <c r="A7" s="16" t="s">
        <v>740</v>
      </c>
      <c r="B7" s="4">
        <v>214419.13000000006</v>
      </c>
      <c r="C7" s="18">
        <v>8261.6500000000015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C4AF-6ECB-40CB-8870-C2D61DBABEF4}">
  <dimension ref="A3:D9"/>
  <sheetViews>
    <sheetView workbookViewId="0">
      <selection activeCell="A3" sqref="A3:D9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2.109375" bestFit="1" customWidth="1"/>
    <col min="4" max="4" width="12.21875" bestFit="1" customWidth="1"/>
  </cols>
  <sheetData>
    <row r="3" spans="1:4" x14ac:dyDescent="0.3">
      <c r="A3" s="15" t="s">
        <v>739</v>
      </c>
      <c r="B3" t="s">
        <v>741</v>
      </c>
      <c r="C3" t="s">
        <v>742</v>
      </c>
      <c r="D3" t="s">
        <v>744</v>
      </c>
    </row>
    <row r="4" spans="1:4" x14ac:dyDescent="0.3">
      <c r="A4" s="16" t="s">
        <v>46</v>
      </c>
      <c r="B4" s="4">
        <v>55778.10000000002</v>
      </c>
      <c r="C4" s="18">
        <v>2624.5</v>
      </c>
      <c r="D4" s="14">
        <f>+IFERROR(C4/B4,0)</f>
        <v>4.705251702729206E-2</v>
      </c>
    </row>
    <row r="5" spans="1:4" x14ac:dyDescent="0.3">
      <c r="A5" s="16" t="s">
        <v>67</v>
      </c>
      <c r="B5" s="4">
        <v>57446.099999999977</v>
      </c>
      <c r="C5" s="18">
        <v>1528.3899999999994</v>
      </c>
      <c r="D5" s="14">
        <f t="shared" ref="D5:D8" si="0">+IFERROR(C5/B5,0)</f>
        <v>2.6605635543579111E-2</v>
      </c>
    </row>
    <row r="6" spans="1:4" x14ac:dyDescent="0.3">
      <c r="A6" s="16" t="s">
        <v>23</v>
      </c>
      <c r="B6" s="4">
        <v>47670.700000000012</v>
      </c>
      <c r="C6" s="18">
        <v>2448.8500000000008</v>
      </c>
      <c r="D6" s="14">
        <f t="shared" si="0"/>
        <v>5.1370128821267576E-2</v>
      </c>
    </row>
    <row r="7" spans="1:4" x14ac:dyDescent="0.3">
      <c r="A7" s="16" t="s">
        <v>53</v>
      </c>
      <c r="B7" s="4">
        <v>53216.120000000017</v>
      </c>
      <c r="C7" s="18">
        <v>1685.5200000000004</v>
      </c>
      <c r="D7" s="14">
        <f t="shared" si="0"/>
        <v>3.1673109576571906E-2</v>
      </c>
    </row>
    <row r="8" spans="1:4" x14ac:dyDescent="0.3">
      <c r="A8" s="16" t="s">
        <v>745</v>
      </c>
      <c r="B8" s="4">
        <v>308.11</v>
      </c>
      <c r="C8" s="18">
        <v>-25.61</v>
      </c>
      <c r="D8" s="14">
        <f t="shared" si="0"/>
        <v>-8.3119665054688249E-2</v>
      </c>
    </row>
    <row r="9" spans="1:4" x14ac:dyDescent="0.3">
      <c r="A9" s="16" t="s">
        <v>740</v>
      </c>
      <c r="B9" s="4">
        <v>214419.13000000003</v>
      </c>
      <c r="C9" s="18">
        <v>8261.65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7FC4-56D8-4793-81AC-0B52A467D31E}">
  <dimension ref="A3:C10"/>
  <sheetViews>
    <sheetView workbookViewId="0">
      <selection activeCell="A3" sqref="A3:C10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2.109375" bestFit="1" customWidth="1"/>
  </cols>
  <sheetData>
    <row r="3" spans="1:3" x14ac:dyDescent="0.3">
      <c r="A3" s="15" t="s">
        <v>739</v>
      </c>
      <c r="B3" t="s">
        <v>741</v>
      </c>
      <c r="C3" t="s">
        <v>742</v>
      </c>
    </row>
    <row r="4" spans="1:3" x14ac:dyDescent="0.3">
      <c r="A4" s="16" t="s">
        <v>27</v>
      </c>
      <c r="B4" s="4">
        <v>33351.86</v>
      </c>
      <c r="C4" s="18">
        <v>563.53999999999974</v>
      </c>
    </row>
    <row r="5" spans="1:3" x14ac:dyDescent="0.3">
      <c r="A5" s="16" t="s">
        <v>79</v>
      </c>
      <c r="B5" s="4">
        <v>48786.349999999984</v>
      </c>
      <c r="C5" s="18">
        <v>2579</v>
      </c>
    </row>
    <row r="6" spans="1:3" x14ac:dyDescent="0.3">
      <c r="A6" s="16" t="s">
        <v>60</v>
      </c>
      <c r="B6" s="4">
        <v>32358.68</v>
      </c>
      <c r="C6" s="18">
        <v>1807.2199999999998</v>
      </c>
    </row>
    <row r="7" spans="1:3" x14ac:dyDescent="0.3">
      <c r="A7" s="16" t="s">
        <v>93</v>
      </c>
      <c r="B7" s="4">
        <v>45801.11</v>
      </c>
      <c r="C7" s="18">
        <v>1356.3600000000001</v>
      </c>
    </row>
    <row r="8" spans="1:3" x14ac:dyDescent="0.3">
      <c r="A8" s="16" t="s">
        <v>70</v>
      </c>
      <c r="B8" s="4">
        <v>29696.370000000003</v>
      </c>
      <c r="C8" s="18">
        <v>1713.6400000000003</v>
      </c>
    </row>
    <row r="9" spans="1:3" x14ac:dyDescent="0.3">
      <c r="A9" s="16" t="s">
        <v>39</v>
      </c>
      <c r="B9" s="4">
        <v>24424.760000000002</v>
      </c>
      <c r="C9" s="18">
        <v>241.89000000000004</v>
      </c>
    </row>
    <row r="10" spans="1:3" x14ac:dyDescent="0.3">
      <c r="A10" s="16" t="s">
        <v>740</v>
      </c>
      <c r="B10" s="4">
        <v>214419.13</v>
      </c>
      <c r="C10" s="18">
        <v>8261.6500000000015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18A2-0861-4311-B5BA-D9151DFA02FC}">
  <dimension ref="A3:C11"/>
  <sheetViews>
    <sheetView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2.109375" bestFit="1" customWidth="1"/>
  </cols>
  <sheetData>
    <row r="3" spans="1:3" x14ac:dyDescent="0.3">
      <c r="A3" s="15" t="s">
        <v>739</v>
      </c>
      <c r="B3" t="s">
        <v>741</v>
      </c>
      <c r="C3" t="s">
        <v>742</v>
      </c>
    </row>
    <row r="4" spans="1:3" x14ac:dyDescent="0.3">
      <c r="A4" s="16">
        <v>0</v>
      </c>
      <c r="B4" s="4">
        <v>43273.450000000012</v>
      </c>
      <c r="C4" s="18">
        <v>2012.9899999999996</v>
      </c>
    </row>
    <row r="5" spans="1:3" x14ac:dyDescent="0.3">
      <c r="A5" s="16">
        <v>0.05</v>
      </c>
      <c r="B5" s="4">
        <v>41684.700000000004</v>
      </c>
      <c r="C5" s="18">
        <v>2017.7599999999995</v>
      </c>
    </row>
    <row r="6" spans="1:3" x14ac:dyDescent="0.3">
      <c r="A6" s="16">
        <v>0.1</v>
      </c>
      <c r="B6" s="4">
        <v>31252.510000000002</v>
      </c>
      <c r="C6" s="18">
        <v>1652.9799999999996</v>
      </c>
    </row>
    <row r="7" spans="1:3" x14ac:dyDescent="0.3">
      <c r="A7" s="16">
        <v>0.15</v>
      </c>
      <c r="B7" s="4">
        <v>42533.4</v>
      </c>
      <c r="C7" s="18">
        <v>663.15999999999974</v>
      </c>
    </row>
    <row r="8" spans="1:3" x14ac:dyDescent="0.3">
      <c r="A8" s="16">
        <v>0.2</v>
      </c>
      <c r="B8" s="4">
        <v>29542.22</v>
      </c>
      <c r="C8" s="18">
        <v>635.20000000000005</v>
      </c>
    </row>
    <row r="9" spans="1:3" x14ac:dyDescent="0.3">
      <c r="A9" s="16">
        <v>0.3</v>
      </c>
      <c r="B9" s="4">
        <v>24419.719999999994</v>
      </c>
      <c r="C9" s="18">
        <v>1471.7999999999997</v>
      </c>
    </row>
    <row r="10" spans="1:3" x14ac:dyDescent="0.3">
      <c r="A10" s="16" t="s">
        <v>746</v>
      </c>
      <c r="B10" s="4">
        <v>1713.13</v>
      </c>
      <c r="C10" s="18">
        <v>-192.24</v>
      </c>
    </row>
    <row r="11" spans="1:3" x14ac:dyDescent="0.3">
      <c r="A11" s="16" t="s">
        <v>740</v>
      </c>
      <c r="B11" s="4">
        <v>214419.13000000003</v>
      </c>
      <c r="C11" s="18">
        <v>8261.6499999999978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Dirty_Retail_Data</vt:lpstr>
      <vt:lpstr>Retailed_Data</vt:lpstr>
      <vt:lpstr>KPI</vt:lpstr>
      <vt:lpstr>Category_Analysis</vt:lpstr>
      <vt:lpstr>Region_Analysis</vt:lpstr>
      <vt:lpstr>Sales &amp; Profit by Sub-Category</vt:lpstr>
      <vt:lpstr>Discount_Analysis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Priti pandey</cp:lastModifiedBy>
  <dcterms:created xsi:type="dcterms:W3CDTF">2026-10-24T08:40:46Z</dcterms:created>
  <dcterms:modified xsi:type="dcterms:W3CDTF">2026-10-25T15:31:23Z</dcterms:modified>
</cp:coreProperties>
</file>